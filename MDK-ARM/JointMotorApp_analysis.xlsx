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<sst xmlns="http://schemas.openxmlformats.org/spreadsheetml/2006/main" count="173" uniqueCount="133">
  <si>
    <t>JointMotorApp</t>
  </si>
  <si>
    <t>heap_4.o</t>
  </si>
  <si>
    <t>motor_loop.o</t>
  </si>
  <si>
    <t>dev_commun_uart.o</t>
  </si>
  <si>
    <t>startup_stm32g474xx.o</t>
  </si>
  <si>
    <t>packer_parser.o</t>
  </si>
  <si>
    <t>runtime_param.o</t>
  </si>
  <si>
    <t>pid_profile.o</t>
  </si>
  <si>
    <t>usart.o</t>
  </si>
  <si>
    <t>tasks.o</t>
  </si>
  <si>
    <t>tim.o</t>
  </si>
  <si>
    <t>drv_rtos.o</t>
  </si>
  <si>
    <t>spi.o</t>
  </si>
  <si>
    <t>dev_dwt_counter.o</t>
  </si>
  <si>
    <t>adc.o</t>
  </si>
  <si>
    <t>fdcan.o</t>
  </si>
  <si>
    <t>i2c.o</t>
  </si>
  <si>
    <t>drv_usart.o</t>
  </si>
  <si>
    <t>stm32g4xx_hal_timebase_tim.o</t>
  </si>
  <si>
    <t>cordic.o</t>
  </si>
  <si>
    <t>dev_motor.o</t>
  </si>
  <si>
    <t>thread_management.o</t>
  </si>
  <si>
    <t>mc_w.l</t>
  </si>
  <si>
    <t>stm32g4xx_hal.o</t>
  </si>
  <si>
    <t>port.o</t>
  </si>
  <si>
    <t>mvars.o</t>
  </si>
  <si>
    <t>motor_control.o</t>
  </si>
  <si>
    <t>foc_core.o</t>
  </si>
  <si>
    <t>stdout.o</t>
  </si>
  <si>
    <t>errno.o</t>
  </si>
  <si>
    <t>system_stm32g4xx.o</t>
  </si>
  <si>
    <t>jm_proto_uart.o</t>
  </si>
  <si>
    <t>app_freertos.o</t>
  </si>
  <si>
    <t>stm32g4xx_hal_uart.o</t>
  </si>
  <si>
    <t>stm32g4xx_hal_tim.o</t>
  </si>
  <si>
    <t>stm32g4xx_hal_adc.o</t>
  </si>
  <si>
    <t>arm_cortexM4lf_math.lib</t>
  </si>
  <si>
    <t>printfa.o</t>
  </si>
  <si>
    <t>stm32g4xx_hal_adc_ex.o</t>
  </si>
  <si>
    <t>arm_common_tables.o</t>
  </si>
  <si>
    <t>stm32g4xx_hal_rcc.o</t>
  </si>
  <si>
    <t>motion_param.o</t>
  </si>
  <si>
    <t>jm_proto.o</t>
  </si>
  <si>
    <t>stm32g4xx_hal_spi.o</t>
  </si>
  <si>
    <t>mf_w.l</t>
  </si>
  <si>
    <t>m_wm.l</t>
  </si>
  <si>
    <t>dev_motor_phase_current.o</t>
  </si>
  <si>
    <t>stm32g4xx_hal_fdcan.o</t>
  </si>
  <si>
    <t>stm32g4xx_hal_dma.o</t>
  </si>
  <si>
    <t>multiturn_counter.o</t>
  </si>
  <si>
    <t>stm32g4xx_hal_rcc_ex.o</t>
  </si>
  <si>
    <t>stm32g4xx_hal_tim_ex.o</t>
  </si>
  <si>
    <t>dev_mt6835.o</t>
  </si>
  <si>
    <t>cascade_control.o</t>
  </si>
  <si>
    <t>system_state.o</t>
  </si>
  <si>
    <t>dev_half_bridge.o</t>
  </si>
  <si>
    <t>crc16.o</t>
  </si>
  <si>
    <t>stm32g4xx_hal_gpio.o</t>
  </si>
  <si>
    <t>drv_tim.o</t>
  </si>
  <si>
    <t>sinf.o</t>
  </si>
  <si>
    <t>rredf.o</t>
  </si>
  <si>
    <t>pid_core.o</t>
  </si>
  <si>
    <t>dadd.o</t>
  </si>
  <si>
    <t>ctrl_transition.o</t>
  </si>
  <si>
    <t>stm32g4xx_hal_uart_ex.o</t>
  </si>
  <si>
    <t>current_loop.o</t>
  </si>
  <si>
    <t>gpio.o</t>
  </si>
  <si>
    <t>thread_commun.o</t>
  </si>
  <si>
    <t>main.o</t>
  </si>
  <si>
    <t>dmul.o</t>
  </si>
  <si>
    <t>ddiv.o</t>
  </si>
  <si>
    <t>stm32g4xx_hal_pwr_ex.o</t>
  </si>
  <si>
    <t>drv_spi.o</t>
  </si>
  <si>
    <t>stm32g4xx_hal_i2c.o</t>
  </si>
  <si>
    <t>malloc.o</t>
  </si>
  <si>
    <t>depilogue.o</t>
  </si>
  <si>
    <t>fmodf.o</t>
  </si>
  <si>
    <t>stm32g4xx_hal_i2c_ex.o</t>
  </si>
  <si>
    <t>stm32g4xx_hal_cortex.o</t>
  </si>
  <si>
    <t>roundf.o</t>
  </si>
  <si>
    <t>arm_cos_f32.o</t>
  </si>
  <si>
    <t>stm32g4xx_it.o</t>
  </si>
  <si>
    <t>arm_sin_f32.o</t>
  </si>
  <si>
    <t>dev_config.o</t>
  </si>
  <si>
    <t>drv_adc.o</t>
  </si>
  <si>
    <t>list.o</t>
  </si>
  <si>
    <t>drv_gpio.o</t>
  </si>
  <si>
    <t>floorf.o</t>
  </si>
  <si>
    <t>fepilogue.o</t>
  </si>
  <si>
    <t>uldiv.o</t>
  </si>
  <si>
    <t>ldiv.o</t>
  </si>
  <si>
    <t>motor_param.o</t>
  </si>
  <si>
    <t>cmsis_os.o</t>
  </si>
  <si>
    <t>assert_report.o</t>
  </si>
  <si>
    <t>frem.o</t>
  </si>
  <si>
    <t>dma.o</t>
  </si>
  <si>
    <t>frnd.o</t>
  </si>
  <si>
    <t>stm32g4xx_hal_msp.o</t>
  </si>
  <si>
    <t>stm32g4xx_hal_cordic.o</t>
  </si>
  <si>
    <t>control_irq.o</t>
  </si>
  <si>
    <t>dfixul.o</t>
  </si>
  <si>
    <t>cdrcmple.o</t>
  </si>
  <si>
    <t>drv_dwt_timer.o</t>
  </si>
  <si>
    <t>uidiv.o</t>
  </si>
  <si>
    <t>user_interface.o</t>
  </si>
  <si>
    <t>funder.o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</si>
  <si>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</si>
  <si>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</si>
  <si>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</si>
  <si>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</si>
  <si>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</si>
  <si>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</si>
  <si>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</si>
  <si>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thread_control.o</t>
  </si>
  <si>
    <t>llshl.o</t>
  </si>
  <si>
    <t>handlers.o</t>
  </si>
  <si>
    <t>thread_period.o</t>
  </si>
  <si>
    <t>thread_display.o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</si>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</sst>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ram_percent!$A$3:$A$124</c:f>
              <c:strCache>
                <c:ptCount val="122"/>
                <c:pt idx="0">
                  <c:v>heap_4.o</c:v>
                </c:pt>
                <c:pt idx="1">
                  <c:v>motor_loop.o</c:v>
                </c:pt>
                <c:pt idx="2">
                  <c:v>dev_commun_uart.o</c:v>
                </c:pt>
                <c:pt idx="3">
                  <c:v>startup_stm32g474xx.o</c:v>
                </c:pt>
                <c:pt idx="4">
                  <c:v>packer_parser.o</c:v>
                </c:pt>
                <c:pt idx="5">
                  <c:v>runtime_param.o</c:v>
                </c:pt>
                <c:pt idx="6">
                  <c:v>pid_profile.o</c:v>
                </c:pt>
                <c:pt idx="7">
                  <c:v>usart.o</c:v>
                </c:pt>
                <c:pt idx="8">
                  <c:v>tasks.o</c:v>
                </c:pt>
                <c:pt idx="9">
                  <c:v>tim.o</c:v>
                </c:pt>
                <c:pt idx="10">
                  <c:v>drv_rtos.o</c:v>
                </c:pt>
                <c:pt idx="11">
                  <c:v>spi.o</c:v>
                </c:pt>
                <c:pt idx="12">
                  <c:v>dev_dwt_counter.o</c:v>
                </c:pt>
                <c:pt idx="13">
                  <c:v>adc.o</c:v>
                </c:pt>
                <c:pt idx="14">
                  <c:v>fdcan.o</c:v>
                </c:pt>
                <c:pt idx="15">
                  <c:v>i2c.o</c:v>
                </c:pt>
                <c:pt idx="16">
                  <c:v>drv_usart.o</c:v>
                </c:pt>
                <c:pt idx="17">
                  <c:v>stm32g4xx_hal_timebase_tim.o</c:v>
                </c:pt>
                <c:pt idx="18">
                  <c:v>cordic.o</c:v>
                </c:pt>
                <c:pt idx="19">
                  <c:v>dev_motor.o</c:v>
                </c:pt>
                <c:pt idx="20">
                  <c:v>thread_management.o</c:v>
                </c:pt>
                <c:pt idx="21">
                  <c:v>mc_w.l</c:v>
                </c:pt>
                <c:pt idx="22">
                  <c:v>stm32g4xx_hal.o</c:v>
                </c:pt>
                <c:pt idx="23">
                  <c:v>port.o</c:v>
                </c:pt>
                <c:pt idx="24">
                  <c:v>mvars.o</c:v>
                </c:pt>
                <c:pt idx="25">
                  <c:v>motor_control.o</c:v>
                </c:pt>
                <c:pt idx="26">
                  <c:v>foc_core.o</c:v>
                </c:pt>
                <c:pt idx="27">
                  <c:v>stdout.o</c:v>
                </c:pt>
                <c:pt idx="28">
                  <c:v>errno.o</c:v>
                </c:pt>
                <c:pt idx="29">
                  <c:v>system_stm32g4xx.o</c:v>
                </c:pt>
                <c:pt idx="30">
                  <c:v>jm_proto_uart.o</c:v>
                </c:pt>
                <c:pt idx="31">
                  <c:v>app_freertos.o</c:v>
                </c:pt>
                <c:pt idx="121">
                  <c:v>Totals</c:v>
                </c:pt>
              </c:strCache>
            </c:strRef>
          </c:cat>
          <c:val>
            <c:numRef>
              <c:f>ram_percent!$B$3:$B$124</c:f>
              <c:numCache>
                <c:formatCode>General</c:formatCode>
                <c:ptCount val="122"/>
                <c:pt idx="0">
                  <c:v>65.29313659667969</c:v>
                </c:pt>
                <c:pt idx="1">
                  <c:v>6.618407249450684</c:v>
                </c:pt>
                <c:pt idx="2">
                  <c:v>6.538859367370606</c:v>
                </c:pt>
                <c:pt idx="3">
                  <c:v>6.109299182891846</c:v>
                </c:pt>
                <c:pt idx="4">
                  <c:v>4.1007080078125</c:v>
                </c:pt>
                <c:pt idx="5">
                  <c:v>1.813698172569275</c:v>
                </c:pt>
                <c:pt idx="6">
                  <c:v>1.41595733165741</c:v>
                </c:pt>
                <c:pt idx="7">
                  <c:v>1.3523188829422</c:v>
                </c:pt>
                <c:pt idx="8">
                  <c:v>1.193222522735596</c:v>
                </c:pt>
                <c:pt idx="9">
                  <c:v>0.9068490862846375</c:v>
                </c:pt>
                <c:pt idx="10">
                  <c:v>0.890939474105835</c:v>
                </c:pt>
                <c:pt idx="11">
                  <c:v>0.7954816818237305</c:v>
                </c:pt>
                <c:pt idx="12">
                  <c:v>0.5091082453727722</c:v>
                </c:pt>
                <c:pt idx="13">
                  <c:v>0.4295600950717926</c:v>
                </c:pt>
                <c:pt idx="14">
                  <c:v>0.3977408409118652</c:v>
                </c:pt>
                <c:pt idx="15">
                  <c:v>0.3341023027896881</c:v>
                </c:pt>
                <c:pt idx="16">
                  <c:v>0.3341023027896881</c:v>
                </c:pt>
                <c:pt idx="17">
                  <c:v>0.3022830188274384</c:v>
                </c:pt>
                <c:pt idx="18">
                  <c:v>0.1590963304042816</c:v>
                </c:pt>
                <c:pt idx="19">
                  <c:v>0.09148038923740387</c:v>
                </c:pt>
                <c:pt idx="20">
                  <c:v>0.07954816520214081</c:v>
                </c:pt>
                <c:pt idx="21">
                  <c:v>0.06363853067159653</c:v>
                </c:pt>
                <c:pt idx="22">
                  <c:v>0.04772889986634255</c:v>
                </c:pt>
                <c:pt idx="23">
                  <c:v>0.04772889986634255</c:v>
                </c:pt>
                <c:pt idx="24">
                  <c:v>0.03181926533579826</c:v>
                </c:pt>
                <c:pt idx="25">
                  <c:v>0.03181926533579826</c:v>
                </c:pt>
                <c:pt idx="26">
                  <c:v>0.03181926533579826</c:v>
                </c:pt>
                <c:pt idx="27">
                  <c:v>0.01590963266789913</c:v>
                </c:pt>
                <c:pt idx="28">
                  <c:v>0.01590963266789913</c:v>
                </c:pt>
                <c:pt idx="29">
                  <c:v>0.01590963266789913</c:v>
                </c:pt>
                <c:pt idx="30">
                  <c:v>0.01590963266789913</c:v>
                </c:pt>
                <c:pt idx="31">
                  <c:v>0.01590963266789913</c:v>
                </c:pt>
                <c:pt idx="12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flash_percent!$A$3:$A$124</c:f>
              <c:strCache>
                <c:ptCount val="122"/>
                <c:pt idx="0">
                  <c:v>stm32g4xx_hal_uart.o</c:v>
                </c:pt>
                <c:pt idx="1">
                  <c:v>stm32g4xx_hal_tim.o</c:v>
                </c:pt>
                <c:pt idx="2">
                  <c:v>mc_w.l</c:v>
                </c:pt>
                <c:pt idx="3">
                  <c:v>stm32g4xx_hal_adc.o</c:v>
                </c:pt>
                <c:pt idx="4">
                  <c:v>arm_cortexM4lf_math.lib</c:v>
                </c:pt>
                <c:pt idx="5">
                  <c:v>printfa.o</c:v>
                </c:pt>
                <c:pt idx="6">
                  <c:v>stm32g4xx_hal_adc_ex.o</c:v>
                </c:pt>
                <c:pt idx="7">
                  <c:v>arm_common_tables.o</c:v>
                </c:pt>
                <c:pt idx="8">
                  <c:v>stm32g4xx_hal_rcc.o</c:v>
                </c:pt>
                <c:pt idx="9">
                  <c:v>motion_param.o</c:v>
                </c:pt>
                <c:pt idx="10">
                  <c:v>tasks.o</c:v>
                </c:pt>
                <c:pt idx="11">
                  <c:v>jm_proto.o</c:v>
                </c:pt>
                <c:pt idx="12">
                  <c:v>stm32g4xx_hal_spi.o</c:v>
                </c:pt>
                <c:pt idx="13">
                  <c:v>mf_w.l</c:v>
                </c:pt>
                <c:pt idx="14">
                  <c:v>m_wm.l</c:v>
                </c:pt>
                <c:pt idx="15">
                  <c:v>motor_control.o</c:v>
                </c:pt>
                <c:pt idx="16">
                  <c:v>dev_motor_phase_current.o</c:v>
                </c:pt>
                <c:pt idx="17">
                  <c:v>foc_core.o</c:v>
                </c:pt>
                <c:pt idx="18">
                  <c:v>stm32g4xx_hal_fdcan.o</c:v>
                </c:pt>
                <c:pt idx="19">
                  <c:v>stm32g4xx_hal_dma.o</c:v>
                </c:pt>
                <c:pt idx="20">
                  <c:v>multiturn_counter.o</c:v>
                </c:pt>
                <c:pt idx="21">
                  <c:v>pid_profile.o</c:v>
                </c:pt>
                <c:pt idx="22">
                  <c:v>stm32g4xx_hal_rcc_ex.o</c:v>
                </c:pt>
                <c:pt idx="23">
                  <c:v>tim.o</c:v>
                </c:pt>
                <c:pt idx="24">
                  <c:v>stm32g4xx_hal_tim_ex.o</c:v>
                </c:pt>
                <c:pt idx="25">
                  <c:v>port.o</c:v>
                </c:pt>
                <c:pt idx="26">
                  <c:v>dev_mt6835.o</c:v>
                </c:pt>
                <c:pt idx="27">
                  <c:v>cascade_control.o</c:v>
                </c:pt>
                <c:pt idx="28">
                  <c:v>system_state.o</c:v>
                </c:pt>
                <c:pt idx="29">
                  <c:v>dev_commun_uart.o</c:v>
                </c:pt>
                <c:pt idx="30">
                  <c:v>dev_half_bridge.o</c:v>
                </c:pt>
                <c:pt idx="31">
                  <c:v>crc16.o</c:v>
                </c:pt>
                <c:pt idx="32">
                  <c:v>motor_loop.o</c:v>
                </c:pt>
                <c:pt idx="33">
                  <c:v>heap_4.o</c:v>
                </c:pt>
                <c:pt idx="34">
                  <c:v>startup_stm32g474xx.o</c:v>
                </c:pt>
                <c:pt idx="35">
                  <c:v>dev_motor.o</c:v>
                </c:pt>
                <c:pt idx="36">
                  <c:v>stm32g4xx_hal_gpio.o</c:v>
                </c:pt>
                <c:pt idx="37">
                  <c:v>packer_parser.o</c:v>
                </c:pt>
                <c:pt idx="38">
                  <c:v>drv_usart.o</c:v>
                </c:pt>
                <c:pt idx="39">
                  <c:v>adc.o</c:v>
                </c:pt>
                <c:pt idx="40">
                  <c:v>drv_tim.o</c:v>
                </c:pt>
                <c:pt idx="41">
                  <c:v>sinf.o</c:v>
                </c:pt>
                <c:pt idx="42">
                  <c:v>rredf.o</c:v>
                </c:pt>
                <c:pt idx="43">
                  <c:v>pid_core.o</c:v>
                </c:pt>
                <c:pt idx="44">
                  <c:v>usart.o</c:v>
                </c:pt>
                <c:pt idx="45">
                  <c:v>dadd.o</c:v>
                </c:pt>
                <c:pt idx="46">
                  <c:v>spi.o</c:v>
                </c:pt>
                <c:pt idx="47">
                  <c:v>ctrl_transition.o</c:v>
                </c:pt>
                <c:pt idx="48">
                  <c:v>stm32g4xx_hal_uart_ex.o</c:v>
                </c:pt>
                <c:pt idx="49">
                  <c:v>current_loop.o</c:v>
                </c:pt>
                <c:pt idx="50">
                  <c:v>jm_proto_uart.o</c:v>
                </c:pt>
                <c:pt idx="51">
                  <c:v>gpio.o</c:v>
                </c:pt>
                <c:pt idx="52">
                  <c:v>thread_commun.o</c:v>
                </c:pt>
                <c:pt idx="53">
                  <c:v>i2c.o</c:v>
                </c:pt>
                <c:pt idx="54">
                  <c:v>main.o</c:v>
                </c:pt>
                <c:pt idx="55">
                  <c:v>dmul.o</c:v>
                </c:pt>
                <c:pt idx="56">
                  <c:v>ddiv.o</c:v>
                </c:pt>
                <c:pt idx="57">
                  <c:v>stm32g4xx_hal_pwr_ex.o</c:v>
                </c:pt>
                <c:pt idx="58">
                  <c:v>fdcan.o</c:v>
                </c:pt>
                <c:pt idx="59">
                  <c:v>drv_spi.o</c:v>
                </c:pt>
                <c:pt idx="60">
                  <c:v>stm32g4xx_hal_i2c.o</c:v>
                </c:pt>
                <c:pt idx="61">
                  <c:v>malloc.o</c:v>
                </c:pt>
                <c:pt idx="62">
                  <c:v>thread_management.o</c:v>
                </c:pt>
                <c:pt idx="63">
                  <c:v>depilogue.o</c:v>
                </c:pt>
                <c:pt idx="64">
                  <c:v>fmodf.o</c:v>
                </c:pt>
                <c:pt idx="65">
                  <c:v>stm32g4xx_hal_i2c_ex.o</c:v>
                </c:pt>
                <c:pt idx="66">
                  <c:v>drv_rtos.o</c:v>
                </c:pt>
                <c:pt idx="67">
                  <c:v>stm32g4xx_hal_cortex.o</c:v>
                </c:pt>
                <c:pt idx="68">
                  <c:v>roundf.o</c:v>
                </c:pt>
                <c:pt idx="69">
                  <c:v>arm_cos_f32.o</c:v>
                </c:pt>
                <c:pt idx="70">
                  <c:v>stm32g4xx_it.o</c:v>
                </c:pt>
                <c:pt idx="71">
                  <c:v>arm_sin_f32.o</c:v>
                </c:pt>
                <c:pt idx="72">
                  <c:v>dev_config.o</c:v>
                </c:pt>
                <c:pt idx="73">
                  <c:v>drv_adc.o</c:v>
                </c:pt>
                <c:pt idx="74">
                  <c:v>list.o</c:v>
                </c:pt>
                <c:pt idx="75">
                  <c:v>stm32g4xx_hal_timebase_tim.o</c:v>
                </c:pt>
                <c:pt idx="76">
                  <c:v>dev_dwt_counter.o</c:v>
                </c:pt>
                <c:pt idx="77">
                  <c:v>drv_gpio.o</c:v>
                </c:pt>
                <c:pt idx="78">
                  <c:v>floorf.o</c:v>
                </c:pt>
                <c:pt idx="79">
                  <c:v>fepilogue.o</c:v>
                </c:pt>
                <c:pt idx="80">
                  <c:v>uldiv.o</c:v>
                </c:pt>
                <c:pt idx="81">
                  <c:v>ldiv.o</c:v>
                </c:pt>
                <c:pt idx="82">
                  <c:v>motor_param.o</c:v>
                </c:pt>
                <c:pt idx="83">
                  <c:v>cmsis_os.o</c:v>
                </c:pt>
                <c:pt idx="84">
                  <c:v>assert_report.o</c:v>
                </c:pt>
                <c:pt idx="85">
                  <c:v>app_freertos.o</c:v>
                </c:pt>
                <c:pt idx="86">
                  <c:v>frem.o</c:v>
                </c:pt>
                <c:pt idx="87">
                  <c:v>dma.o</c:v>
                </c:pt>
                <c:pt idx="88">
                  <c:v>cordic.o</c:v>
                </c:pt>
                <c:pt idx="89">
                  <c:v>stm32g4xx_hal.o</c:v>
                </c:pt>
                <c:pt idx="90">
                  <c:v>frnd.o</c:v>
                </c:pt>
                <c:pt idx="91">
                  <c:v>stm32g4xx_hal_msp.o</c:v>
                </c:pt>
                <c:pt idx="92">
                  <c:v>stm32g4xx_hal_cordic.o</c:v>
                </c:pt>
                <c:pt idx="93">
                  <c:v>control_irq.o</c:v>
                </c:pt>
                <c:pt idx="94">
                  <c:v>dfixul.o</c:v>
                </c:pt>
                <c:pt idx="95">
                  <c:v>cdrcmple.o</c:v>
                </c:pt>
                <c:pt idx="96">
                  <c:v>drv_dwt_timer.o</c:v>
                </c:pt>
                <c:pt idx="97">
                  <c:v>uidiv.o</c:v>
                </c:pt>
                <c:pt idx="98">
                  <c:v>system_stm32g4xx.o</c:v>
                </c:pt>
                <c:pt idx="99">
                  <c:v>user_interface.o</c:v>
                </c:pt>
                <c:pt idx="100">
                  <c:v>funder.o</c:v>
                </c:pt>
                <c:pt idx="101">
                  <c:v>fpclassifyf.o</c:v>
                </c:pt>
                <c:pt idx="102">
                  <c:v>memseta.o</c:v>
                </c:pt>
                <c:pt idx="103">
                  <c:v>memcpya.o</c:v>
                </c:pt>
                <c:pt idx="104">
                  <c:v>llsshr.o</c:v>
                </c:pt>
                <c:pt idx="105">
                  <c:v>init.o</c:v>
                </c:pt>
                <c:pt idx="106">
                  <c:v>llushr.o</c:v>
                </c:pt>
                <c:pt idx="107">
                  <c:v>thread_idle.o</c:v>
                </c:pt>
                <c:pt idx="108">
                  <c:v>thread_control.o</c:v>
                </c:pt>
                <c:pt idx="109">
                  <c:v>llshl.o</c:v>
                </c:pt>
                <c:pt idx="110">
                  <c:v>handlers.o</c:v>
                </c:pt>
                <c:pt idx="111">
                  <c:v>thread_period.o</c:v>
                </c:pt>
                <c:pt idx="112">
                  <c:v>thread_display.o</c:v>
                </c:pt>
                <c:pt idx="113">
                  <c:v>strncpy.o</c:v>
                </c:pt>
                <c:pt idx="114">
                  <c:v>errno.o</c:v>
                </c:pt>
                <c:pt idx="115">
                  <c:v>mvars.o</c:v>
                </c:pt>
                <c:pt idx="116">
                  <c:v>entry9a.o</c:v>
                </c:pt>
                <c:pt idx="117">
                  <c:v>entry2.o</c:v>
                </c:pt>
                <c:pt idx="118">
                  <c:v>stdout.o</c:v>
                </c:pt>
                <c:pt idx="119">
                  <c:v>entry5.o</c:v>
                </c:pt>
                <c:pt idx="120">
                  <c:v>entry12b.o</c:v>
                </c:pt>
                <c:pt idx="121">
                  <c:v>Totals</c:v>
                </c:pt>
              </c:strCache>
            </c:strRef>
          </c:cat>
          <c:val>
            <c:numRef>
              <c:f>flash_percent!$B$3:$B$124</c:f>
              <c:numCache>
                <c:formatCode>General</c:formatCode>
                <c:ptCount val="122"/>
                <c:pt idx="0">
                  <c:v>5.55370569229126</c:v>
                </c:pt>
                <c:pt idx="1">
                  <c:v>5.310647964477539</c:v>
                </c:pt>
                <c:pt idx="2">
                  <c:v>4.924418926239014</c:v>
                </c:pt>
                <c:pt idx="3">
                  <c:v>4.628087997436523</c:v>
                </c:pt>
                <c:pt idx="4">
                  <c:v>3.908903360366821</c:v>
                </c:pt>
                <c:pt idx="5">
                  <c:v>3.692481756210327</c:v>
                </c:pt>
                <c:pt idx="6">
                  <c:v>3.655856609344482</c:v>
                </c:pt>
                <c:pt idx="7">
                  <c:v>3.416128396987915</c:v>
                </c:pt>
                <c:pt idx="8">
                  <c:v>3.163081884384155</c:v>
                </c:pt>
                <c:pt idx="9">
                  <c:v>3.006592512130737</c:v>
                </c:pt>
                <c:pt idx="10">
                  <c:v>2.503829002380371</c:v>
                </c:pt>
                <c:pt idx="11">
                  <c:v>2.327362298965454</c:v>
                </c:pt>
                <c:pt idx="12">
                  <c:v>2.320703268051148</c:v>
                </c:pt>
                <c:pt idx="13">
                  <c:v>2.194180011749268</c:v>
                </c:pt>
                <c:pt idx="14">
                  <c:v>2.147566080093384</c:v>
                </c:pt>
                <c:pt idx="15">
                  <c:v>2.001065492630005</c:v>
                </c:pt>
                <c:pt idx="16">
                  <c:v>1.971099376678467</c:v>
                </c:pt>
                <c:pt idx="17">
                  <c:v>1.794632792472839</c:v>
                </c:pt>
                <c:pt idx="18">
                  <c:v>1.641473054885864</c:v>
                </c:pt>
                <c:pt idx="19">
                  <c:v>1.591529607772827</c:v>
                </c:pt>
                <c:pt idx="20">
                  <c:v>1.385096907615662</c:v>
                </c:pt>
                <c:pt idx="21">
                  <c:v>1.315176129341126</c:v>
                </c:pt>
                <c:pt idx="22">
                  <c:v>1.305187463760376</c:v>
                </c:pt>
                <c:pt idx="23">
                  <c:v>1.258573651313782</c:v>
                </c:pt>
                <c:pt idx="24">
                  <c:v>1.198641538619995</c:v>
                </c:pt>
                <c:pt idx="25">
                  <c:v>1.188652873039246</c:v>
                </c:pt>
                <c:pt idx="26">
                  <c:v>1.165345907211304</c:v>
                </c:pt>
                <c:pt idx="27">
                  <c:v>1.102084279060364</c:v>
                </c:pt>
                <c:pt idx="28">
                  <c:v>1.088766098022461</c:v>
                </c:pt>
                <c:pt idx="29">
                  <c:v>1.065459132194519</c:v>
                </c:pt>
                <c:pt idx="30">
                  <c:v>1.038822650909424</c:v>
                </c:pt>
                <c:pt idx="31">
                  <c:v>0.9256176352500916</c:v>
                </c:pt>
                <c:pt idx="32">
                  <c:v>0.8590264320373535</c:v>
                </c:pt>
                <c:pt idx="33">
                  <c:v>0.8523673415184021</c:v>
                </c:pt>
                <c:pt idx="34">
                  <c:v>0.8457081913948059</c:v>
                </c:pt>
                <c:pt idx="35">
                  <c:v>0.7674635648727417</c:v>
                </c:pt>
                <c:pt idx="36">
                  <c:v>0.7524805068969727</c:v>
                </c:pt>
                <c:pt idx="37">
                  <c:v>0.7524805068969727</c:v>
                </c:pt>
                <c:pt idx="38">
                  <c:v>0.7358327507972717</c:v>
                </c:pt>
                <c:pt idx="39">
                  <c:v>0.7325031757354736</c:v>
                </c:pt>
                <c:pt idx="40">
                  <c:v>0.6825597882270813</c:v>
                </c:pt>
                <c:pt idx="41">
                  <c:v>0.6659119725227356</c:v>
                </c:pt>
                <c:pt idx="42">
                  <c:v>0.6192981004714966</c:v>
                </c:pt>
                <c:pt idx="43">
                  <c:v>0.6093094348907471</c:v>
                </c:pt>
                <c:pt idx="44">
                  <c:v>0.5726842880249023</c:v>
                </c:pt>
                <c:pt idx="45">
                  <c:v>0.5560364723205566</c:v>
                </c:pt>
                <c:pt idx="46">
                  <c:v>0.5527069568634033</c:v>
                </c:pt>
                <c:pt idx="47">
                  <c:v>0.5293999910354614</c:v>
                </c:pt>
                <c:pt idx="48">
                  <c:v>0.5127522349357605</c:v>
                </c:pt>
                <c:pt idx="49">
                  <c:v>0.4628088176250458</c:v>
                </c:pt>
                <c:pt idx="50">
                  <c:v>0.4528201520442963</c:v>
                </c:pt>
                <c:pt idx="51">
                  <c:v>0.4528201520442963</c:v>
                </c:pt>
                <c:pt idx="52">
                  <c:v>0.4195245504379273</c:v>
                </c:pt>
                <c:pt idx="53">
                  <c:v>0.4195245504379273</c:v>
                </c:pt>
                <c:pt idx="54">
                  <c:v>0.3895584940910339</c:v>
                </c:pt>
                <c:pt idx="55">
                  <c:v>0.3795698285102844</c:v>
                </c:pt>
                <c:pt idx="56">
                  <c:v>0.3695811331272125</c:v>
                </c:pt>
                <c:pt idx="57">
                  <c:v>0.3662515878677368</c:v>
                </c:pt>
                <c:pt idx="58">
                  <c:v>0.3662515878677368</c:v>
                </c:pt>
                <c:pt idx="59">
                  <c:v>0.3662515878677368</c:v>
                </c:pt>
                <c:pt idx="60">
                  <c:v>0.3396151065826416</c:v>
                </c:pt>
                <c:pt idx="61">
                  <c:v>0.3129786252975464</c:v>
                </c:pt>
                <c:pt idx="62">
                  <c:v>0.3129786252975464</c:v>
                </c:pt>
                <c:pt idx="63">
                  <c:v>0.3096490502357483</c:v>
                </c:pt>
                <c:pt idx="64">
                  <c:v>0.293001264333725</c:v>
                </c:pt>
                <c:pt idx="65">
                  <c:v>0.293001264333725</c:v>
                </c:pt>
                <c:pt idx="66">
                  <c:v>0.2663647830486298</c:v>
                </c:pt>
                <c:pt idx="67">
                  <c:v>0.2630352377891541</c:v>
                </c:pt>
                <c:pt idx="68">
                  <c:v>0.2563761174678803</c:v>
                </c:pt>
                <c:pt idx="69">
                  <c:v>0.2530465424060822</c:v>
                </c:pt>
                <c:pt idx="70">
                  <c:v>0.2463874220848084</c:v>
                </c:pt>
                <c:pt idx="71">
                  <c:v>0.2397283017635346</c:v>
                </c:pt>
                <c:pt idx="72">
                  <c:v>0.2380635291337967</c:v>
                </c:pt>
                <c:pt idx="73">
                  <c:v>0.2363987416028976</c:v>
                </c:pt>
                <c:pt idx="74">
                  <c:v>0.2297396212816238</c:v>
                </c:pt>
                <c:pt idx="75">
                  <c:v>0.2264100760221481</c:v>
                </c:pt>
                <c:pt idx="76">
                  <c:v>0.1997735947370529</c:v>
                </c:pt>
                <c:pt idx="77">
                  <c:v>0.1897849142551422</c:v>
                </c:pt>
                <c:pt idx="78">
                  <c:v>0.1864553540945053</c:v>
                </c:pt>
                <c:pt idx="79">
                  <c:v>0.1831257939338684</c:v>
                </c:pt>
                <c:pt idx="80">
                  <c:v>0.163148432970047</c:v>
                </c:pt>
                <c:pt idx="81">
                  <c:v>0.163148432970047</c:v>
                </c:pt>
                <c:pt idx="82">
                  <c:v>0.1598188728094101</c:v>
                </c:pt>
                <c:pt idx="83">
                  <c:v>0.1398415118455887</c:v>
                </c:pt>
                <c:pt idx="84">
                  <c:v>0.1398415118455887</c:v>
                </c:pt>
                <c:pt idx="85">
                  <c:v>0.1398415118455887</c:v>
                </c:pt>
                <c:pt idx="86">
                  <c:v>0.1365119516849518</c:v>
                </c:pt>
                <c:pt idx="87">
                  <c:v>0.1265232712030411</c:v>
                </c:pt>
                <c:pt idx="88">
                  <c:v>0.1265232712030411</c:v>
                </c:pt>
                <c:pt idx="89">
                  <c:v>0.1165345907211304</c:v>
                </c:pt>
                <c:pt idx="90">
                  <c:v>0.09988679736852646</c:v>
                </c:pt>
                <c:pt idx="91">
                  <c:v>0.09988679736852646</c:v>
                </c:pt>
                <c:pt idx="92">
                  <c:v>0.08989811688661575</c:v>
                </c:pt>
                <c:pt idx="93">
                  <c:v>0.08656855672597885</c:v>
                </c:pt>
                <c:pt idx="94">
                  <c:v>0.07990943640470505</c:v>
                </c:pt>
                <c:pt idx="95">
                  <c:v>0.07990943640470505</c:v>
                </c:pt>
                <c:pt idx="96">
                  <c:v>0.07990943640470505</c:v>
                </c:pt>
                <c:pt idx="97">
                  <c:v>0.07325031608343124</c:v>
                </c:pt>
                <c:pt idx="98">
                  <c:v>0.07325031608343124</c:v>
                </c:pt>
                <c:pt idx="99">
                  <c:v>0.06992075592279434</c:v>
                </c:pt>
                <c:pt idx="100">
                  <c:v>0.06326163560152054</c:v>
                </c:pt>
                <c:pt idx="101">
                  <c:v>0.06326163560152054</c:v>
                </c:pt>
                <c:pt idx="102">
                  <c:v>0.05993207544088364</c:v>
                </c:pt>
                <c:pt idx="103">
                  <c:v>0.05993207544088364</c:v>
                </c:pt>
                <c:pt idx="104">
                  <c:v>0.05993207544088364</c:v>
                </c:pt>
                <c:pt idx="105">
                  <c:v>0.05993207544088364</c:v>
                </c:pt>
                <c:pt idx="106">
                  <c:v>0.05327295884490013</c:v>
                </c:pt>
                <c:pt idx="107">
                  <c:v>0.05327295884490013</c:v>
                </c:pt>
                <c:pt idx="108">
                  <c:v>0.05327295884490013</c:v>
                </c:pt>
                <c:pt idx="109">
                  <c:v>0.04994339868426323</c:v>
                </c:pt>
                <c:pt idx="110">
                  <c:v>0.04994339868426323</c:v>
                </c:pt>
                <c:pt idx="111">
                  <c:v>0.04661383852362633</c:v>
                </c:pt>
                <c:pt idx="112">
                  <c:v>0.04661383852362633</c:v>
                </c:pt>
                <c:pt idx="113">
                  <c:v>0.03995471820235252</c:v>
                </c:pt>
                <c:pt idx="114">
                  <c:v>0.02663647942245007</c:v>
                </c:pt>
                <c:pt idx="115">
                  <c:v>0.01331823971122503</c:v>
                </c:pt>
                <c:pt idx="116">
                  <c:v>0.01331823971122503</c:v>
                </c:pt>
                <c:pt idx="117">
                  <c:v>0.01331823971122503</c:v>
                </c:pt>
                <c:pt idx="118">
                  <c:v>0.006659119855612516</c:v>
                </c:pt>
                <c:pt idx="119">
                  <c:v>0.006659119855612516</c:v>
                </c:pt>
                <c:pt idx="120">
                  <c:v>0.006659119855612516</c:v>
                </c:pt>
                <c:pt idx="12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24" totalsRowCount="1">
  <autoFilter ref="A2:H12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24" totalsRowCount="1">
  <autoFilter ref="A2:H12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2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123</v>
      </c>
      <c r="B2" t="s">
        <v>125</v>
      </c>
      <c r="C2" t="s">
        <v>126</v>
      </c>
      <c r="D2" t="s">
        <v>127</v>
      </c>
      <c r="E2" t="s">
        <v>128</v>
      </c>
      <c r="F2" t="s">
        <v>129</v>
      </c>
      <c r="G2" t="s">
        <v>130</v>
      </c>
      <c r="H2" t="s">
        <v>131</v>
      </c>
    </row>
    <row r="3" spans="1:8">
      <c r="A3" s="1" t="s">
        <v>1</v>
      </c>
      <c r="B3" s="2">
        <v>65.29313659667969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6.618407249450684</v>
      </c>
      <c r="C4" s="1">
        <v>1664</v>
      </c>
      <c r="D4" s="1">
        <v>516</v>
      </c>
      <c r="E4" s="1">
        <v>516</v>
      </c>
      <c r="F4" s="1">
        <v>0</v>
      </c>
      <c r="G4" s="1">
        <v>0</v>
      </c>
      <c r="H4" s="1">
        <v>1664</v>
      </c>
    </row>
    <row r="5" spans="1:8">
      <c r="A5" s="1" t="s">
        <v>3</v>
      </c>
      <c r="B5" s="2">
        <v>6.538859367370606</v>
      </c>
      <c r="C5" s="1">
        <v>1644</v>
      </c>
      <c r="D5" s="1">
        <v>640</v>
      </c>
      <c r="E5" s="1">
        <v>636</v>
      </c>
      <c r="F5" s="1">
        <v>0</v>
      </c>
      <c r="G5" s="1">
        <v>4</v>
      </c>
      <c r="H5" s="1">
        <v>1640</v>
      </c>
    </row>
    <row r="6" spans="1:8">
      <c r="A6" s="1" t="s">
        <v>4</v>
      </c>
      <c r="B6" s="2">
        <v>6.109299182891846</v>
      </c>
      <c r="C6" s="1">
        <v>1536</v>
      </c>
      <c r="D6" s="1">
        <v>508</v>
      </c>
      <c r="E6" s="1">
        <v>36</v>
      </c>
      <c r="F6" s="1">
        <v>472</v>
      </c>
      <c r="G6" s="1">
        <v>0</v>
      </c>
      <c r="H6" s="1">
        <v>1536</v>
      </c>
    </row>
    <row r="7" spans="1:8">
      <c r="A7" s="1" t="s">
        <v>5</v>
      </c>
      <c r="B7" s="2">
        <v>4.1007080078125</v>
      </c>
      <c r="C7" s="1">
        <v>1031</v>
      </c>
      <c r="D7" s="1">
        <v>452</v>
      </c>
      <c r="E7" s="1">
        <v>452</v>
      </c>
      <c r="F7" s="1">
        <v>0</v>
      </c>
      <c r="G7" s="1">
        <v>0</v>
      </c>
      <c r="H7" s="1">
        <v>1031</v>
      </c>
    </row>
    <row r="8" spans="1:8">
      <c r="A8" s="1" t="s">
        <v>6</v>
      </c>
      <c r="B8" s="2">
        <v>1.813698172569275</v>
      </c>
      <c r="C8" s="1">
        <v>456</v>
      </c>
      <c r="D8" s="1">
        <v>0</v>
      </c>
      <c r="E8" s="1">
        <v>0</v>
      </c>
      <c r="F8" s="1">
        <v>0</v>
      </c>
      <c r="G8" s="1">
        <v>0</v>
      </c>
      <c r="H8" s="1">
        <v>456</v>
      </c>
    </row>
    <row r="9" spans="1:8">
      <c r="A9" s="1" t="s">
        <v>7</v>
      </c>
      <c r="B9" s="2">
        <v>1.41595733165741</v>
      </c>
      <c r="C9" s="1">
        <v>356</v>
      </c>
      <c r="D9" s="1">
        <v>790</v>
      </c>
      <c r="E9" s="1">
        <v>434</v>
      </c>
      <c r="F9" s="1">
        <v>352</v>
      </c>
      <c r="G9" s="1">
        <v>4</v>
      </c>
      <c r="H9" s="1">
        <v>352</v>
      </c>
    </row>
    <row r="10" spans="1:8">
      <c r="A10" s="1" t="s">
        <v>8</v>
      </c>
      <c r="B10" s="2">
        <v>1.3523188829422</v>
      </c>
      <c r="C10" s="1">
        <v>340</v>
      </c>
      <c r="D10" s="1">
        <v>344</v>
      </c>
      <c r="E10" s="1">
        <v>344</v>
      </c>
      <c r="F10" s="1">
        <v>0</v>
      </c>
      <c r="G10" s="1">
        <v>0</v>
      </c>
      <c r="H10" s="1">
        <v>340</v>
      </c>
    </row>
    <row r="11" spans="1:8">
      <c r="A11" s="1" t="s">
        <v>9</v>
      </c>
      <c r="B11" s="2">
        <v>1.193222522735596</v>
      </c>
      <c r="C11" s="1">
        <v>300</v>
      </c>
      <c r="D11" s="1">
        <v>1504</v>
      </c>
      <c r="E11" s="1">
        <v>1444</v>
      </c>
      <c r="F11" s="1">
        <v>0</v>
      </c>
      <c r="G11" s="1">
        <v>60</v>
      </c>
      <c r="H11" s="1">
        <v>240</v>
      </c>
    </row>
    <row r="12" spans="1:8">
      <c r="A12" s="1" t="s">
        <v>10</v>
      </c>
      <c r="B12" s="2">
        <v>0.9068490862846375</v>
      </c>
      <c r="C12" s="1">
        <v>228</v>
      </c>
      <c r="D12" s="1">
        <v>756</v>
      </c>
      <c r="E12" s="1">
        <v>756</v>
      </c>
      <c r="F12" s="1">
        <v>0</v>
      </c>
      <c r="G12" s="1">
        <v>0</v>
      </c>
      <c r="H12" s="1">
        <v>228</v>
      </c>
    </row>
    <row r="13" spans="1:8">
      <c r="A13" s="1" t="s">
        <v>11</v>
      </c>
      <c r="B13" s="2">
        <v>0.890939474105835</v>
      </c>
      <c r="C13" s="1">
        <v>224</v>
      </c>
      <c r="D13" s="1">
        <v>160</v>
      </c>
      <c r="E13" s="1">
        <v>160</v>
      </c>
      <c r="F13" s="1">
        <v>0</v>
      </c>
      <c r="G13" s="1">
        <v>0</v>
      </c>
      <c r="H13" s="1">
        <v>224</v>
      </c>
    </row>
    <row r="14" spans="1:8">
      <c r="A14" s="1" t="s">
        <v>12</v>
      </c>
      <c r="B14" s="2">
        <v>0.7954816818237305</v>
      </c>
      <c r="C14" s="1">
        <v>200</v>
      </c>
      <c r="D14" s="1">
        <v>332</v>
      </c>
      <c r="E14" s="1">
        <v>332</v>
      </c>
      <c r="F14" s="1">
        <v>0</v>
      </c>
      <c r="G14" s="1">
        <v>0</v>
      </c>
      <c r="H14" s="1">
        <v>200</v>
      </c>
    </row>
    <row r="15" spans="1:8">
      <c r="A15" s="1" t="s">
        <v>13</v>
      </c>
      <c r="B15" s="2">
        <v>0.5091082453727722</v>
      </c>
      <c r="C15" s="1">
        <v>128</v>
      </c>
      <c r="D15" s="1">
        <v>120</v>
      </c>
      <c r="E15" s="1">
        <v>120</v>
      </c>
      <c r="F15" s="1">
        <v>0</v>
      </c>
      <c r="G15" s="1">
        <v>0</v>
      </c>
      <c r="H15" s="1">
        <v>128</v>
      </c>
    </row>
    <row r="16" spans="1:8">
      <c r="A16" s="1" t="s">
        <v>14</v>
      </c>
      <c r="B16" s="2">
        <v>0.4295600950717926</v>
      </c>
      <c r="C16" s="1">
        <v>108</v>
      </c>
      <c r="D16" s="1">
        <v>440</v>
      </c>
      <c r="E16" s="1">
        <v>440</v>
      </c>
      <c r="F16" s="1">
        <v>0</v>
      </c>
      <c r="G16" s="1">
        <v>0</v>
      </c>
      <c r="H16" s="1">
        <v>108</v>
      </c>
    </row>
    <row r="17" spans="1:8">
      <c r="A17" s="1" t="s">
        <v>15</v>
      </c>
      <c r="B17" s="2">
        <v>0.3977408409118652</v>
      </c>
      <c r="C17" s="1">
        <v>100</v>
      </c>
      <c r="D17" s="1">
        <v>220</v>
      </c>
      <c r="E17" s="1">
        <v>220</v>
      </c>
      <c r="F17" s="1">
        <v>0</v>
      </c>
      <c r="G17" s="1">
        <v>0</v>
      </c>
      <c r="H17" s="1">
        <v>100</v>
      </c>
    </row>
    <row r="18" spans="1:8">
      <c r="A18" s="1" t="s">
        <v>16</v>
      </c>
      <c r="B18" s="2">
        <v>0.3341023027896881</v>
      </c>
      <c r="C18" s="1">
        <v>84</v>
      </c>
      <c r="D18" s="1">
        <v>252</v>
      </c>
      <c r="E18" s="1">
        <v>252</v>
      </c>
      <c r="F18" s="1">
        <v>0</v>
      </c>
      <c r="G18" s="1">
        <v>0</v>
      </c>
      <c r="H18" s="1">
        <v>84</v>
      </c>
    </row>
    <row r="19" spans="1:8">
      <c r="A19" s="1" t="s">
        <v>17</v>
      </c>
      <c r="B19" s="2">
        <v>0.3341023027896881</v>
      </c>
      <c r="C19" s="1">
        <v>84</v>
      </c>
      <c r="D19" s="1">
        <v>442</v>
      </c>
      <c r="E19" s="1">
        <v>386</v>
      </c>
      <c r="F19" s="1">
        <v>56</v>
      </c>
      <c r="G19" s="1">
        <v>0</v>
      </c>
      <c r="H19" s="1">
        <v>84</v>
      </c>
    </row>
    <row r="20" spans="1:8">
      <c r="A20" s="1" t="s">
        <v>18</v>
      </c>
      <c r="B20" s="2">
        <v>0.3022830188274384</v>
      </c>
      <c r="C20" s="1">
        <v>76</v>
      </c>
      <c r="D20" s="1">
        <v>136</v>
      </c>
      <c r="E20" s="1">
        <v>136</v>
      </c>
      <c r="F20" s="1">
        <v>0</v>
      </c>
      <c r="G20" s="1">
        <v>0</v>
      </c>
      <c r="H20" s="1">
        <v>76</v>
      </c>
    </row>
    <row r="21" spans="1:8">
      <c r="A21" s="1" t="s">
        <v>19</v>
      </c>
      <c r="B21" s="2">
        <v>0.1590963304042816</v>
      </c>
      <c r="C21" s="1">
        <v>40</v>
      </c>
      <c r="D21" s="1">
        <v>76</v>
      </c>
      <c r="E21" s="1">
        <v>76</v>
      </c>
      <c r="F21" s="1">
        <v>0</v>
      </c>
      <c r="G21" s="1">
        <v>0</v>
      </c>
      <c r="H21" s="1">
        <v>40</v>
      </c>
    </row>
    <row r="22" spans="1:8">
      <c r="A22" s="1" t="s">
        <v>20</v>
      </c>
      <c r="B22" s="2">
        <v>0.09148038923740387</v>
      </c>
      <c r="C22" s="1">
        <v>23</v>
      </c>
      <c r="D22" s="1">
        <v>461</v>
      </c>
      <c r="E22" s="1">
        <v>426</v>
      </c>
      <c r="F22" s="1">
        <v>12</v>
      </c>
      <c r="G22" s="1">
        <v>23</v>
      </c>
      <c r="H22" s="1">
        <v>0</v>
      </c>
    </row>
    <row r="23" spans="1:8">
      <c r="A23" s="1" t="s">
        <v>21</v>
      </c>
      <c r="B23" s="2">
        <v>0.07954816520214081</v>
      </c>
      <c r="C23" s="1">
        <v>20</v>
      </c>
      <c r="D23" s="1">
        <v>188</v>
      </c>
      <c r="E23" s="1">
        <v>188</v>
      </c>
      <c r="F23" s="1">
        <v>0</v>
      </c>
      <c r="G23" s="1">
        <v>0</v>
      </c>
      <c r="H23" s="1">
        <v>20</v>
      </c>
    </row>
    <row r="24" spans="1:8">
      <c r="A24" s="1" t="s">
        <v>22</v>
      </c>
      <c r="B24" s="2">
        <v>0.06363853067159653</v>
      </c>
      <c r="C24" s="1">
        <v>16</v>
      </c>
      <c r="D24" s="1">
        <v>2958</v>
      </c>
      <c r="E24" s="1">
        <v>2942</v>
      </c>
      <c r="F24" s="1">
        <v>0</v>
      </c>
      <c r="G24" s="1">
        <v>16</v>
      </c>
      <c r="H24" s="1">
        <v>0</v>
      </c>
    </row>
    <row r="25" spans="1:8">
      <c r="A25" s="1" t="s">
        <v>23</v>
      </c>
      <c r="B25" s="2">
        <v>0.04772889986634255</v>
      </c>
      <c r="C25" s="1">
        <v>12</v>
      </c>
      <c r="D25" s="1">
        <v>70</v>
      </c>
      <c r="E25" s="1">
        <v>58</v>
      </c>
      <c r="F25" s="1">
        <v>0</v>
      </c>
      <c r="G25" s="1">
        <v>12</v>
      </c>
      <c r="H25" s="1">
        <v>0</v>
      </c>
    </row>
    <row r="26" spans="1:8">
      <c r="A26" s="1" t="s">
        <v>24</v>
      </c>
      <c r="B26" s="2">
        <v>0.04772889986634255</v>
      </c>
      <c r="C26" s="1">
        <v>12</v>
      </c>
      <c r="D26" s="1">
        <v>714</v>
      </c>
      <c r="E26" s="1">
        <v>702</v>
      </c>
      <c r="F26" s="1">
        <v>0</v>
      </c>
      <c r="G26" s="1">
        <v>12</v>
      </c>
      <c r="H26" s="1">
        <v>0</v>
      </c>
    </row>
    <row r="27" spans="1:8">
      <c r="A27" s="1" t="s">
        <v>25</v>
      </c>
      <c r="B27" s="2">
        <v>0.03181926533579826</v>
      </c>
      <c r="C27" s="1">
        <v>8</v>
      </c>
      <c r="D27" s="1">
        <v>8</v>
      </c>
      <c r="E27" s="1">
        <v>0</v>
      </c>
      <c r="F27" s="1">
        <v>0</v>
      </c>
      <c r="G27" s="1">
        <v>8</v>
      </c>
      <c r="H27" s="1">
        <v>0</v>
      </c>
    </row>
    <row r="28" spans="1:8">
      <c r="A28" s="1" t="s">
        <v>26</v>
      </c>
      <c r="B28" s="2">
        <v>0.03181926533579826</v>
      </c>
      <c r="C28" s="1">
        <v>8</v>
      </c>
      <c r="D28" s="1">
        <v>1202</v>
      </c>
      <c r="E28" s="1">
        <v>1014</v>
      </c>
      <c r="F28" s="1">
        <v>180</v>
      </c>
      <c r="G28" s="1">
        <v>8</v>
      </c>
      <c r="H28" s="1">
        <v>0</v>
      </c>
    </row>
    <row r="29" spans="1:8">
      <c r="A29" s="1" t="s">
        <v>27</v>
      </c>
      <c r="B29" s="2">
        <v>0.03181926533579826</v>
      </c>
      <c r="C29" s="1">
        <v>8</v>
      </c>
      <c r="D29" s="1">
        <v>1078</v>
      </c>
      <c r="E29" s="1">
        <v>1070</v>
      </c>
      <c r="F29" s="1">
        <v>0</v>
      </c>
      <c r="G29" s="1">
        <v>8</v>
      </c>
      <c r="H29" s="1">
        <v>0</v>
      </c>
    </row>
    <row r="30" spans="1:8">
      <c r="A30" s="1" t="s">
        <v>28</v>
      </c>
      <c r="B30" s="2">
        <v>0.01590963266789913</v>
      </c>
      <c r="C30" s="1">
        <v>4</v>
      </c>
      <c r="D30" s="1">
        <v>4</v>
      </c>
      <c r="E30" s="1">
        <v>0</v>
      </c>
      <c r="F30" s="1">
        <v>0</v>
      </c>
      <c r="G30" s="1">
        <v>4</v>
      </c>
      <c r="H30" s="1">
        <v>0</v>
      </c>
    </row>
    <row r="31" spans="1:8">
      <c r="A31" s="1" t="s">
        <v>29</v>
      </c>
      <c r="B31" s="2">
        <v>0.01590963266789913</v>
      </c>
      <c r="C31" s="1">
        <v>4</v>
      </c>
      <c r="D31" s="1">
        <v>16</v>
      </c>
      <c r="E31" s="1">
        <v>12</v>
      </c>
      <c r="F31" s="1">
        <v>0</v>
      </c>
      <c r="G31" s="1">
        <v>4</v>
      </c>
      <c r="H31" s="1">
        <v>0</v>
      </c>
    </row>
    <row r="32" spans="1:8">
      <c r="A32" s="1" t="s">
        <v>30</v>
      </c>
      <c r="B32" s="2">
        <v>0.01590963266789913</v>
      </c>
      <c r="C32" s="1">
        <v>4</v>
      </c>
      <c r="D32" s="1">
        <v>44</v>
      </c>
      <c r="E32" s="1">
        <v>16</v>
      </c>
      <c r="F32" s="1">
        <v>24</v>
      </c>
      <c r="G32" s="1">
        <v>4</v>
      </c>
      <c r="H32" s="1">
        <v>0</v>
      </c>
    </row>
    <row r="33" spans="1:8">
      <c r="A33" s="1" t="s">
        <v>31</v>
      </c>
      <c r="B33" s="2">
        <v>0.01590963266789913</v>
      </c>
      <c r="C33" s="1">
        <v>4</v>
      </c>
      <c r="D33" s="1">
        <v>272</v>
      </c>
      <c r="E33" s="1">
        <v>268</v>
      </c>
      <c r="F33" s="1">
        <v>0</v>
      </c>
      <c r="G33" s="1">
        <v>4</v>
      </c>
      <c r="H33" s="1">
        <v>0</v>
      </c>
    </row>
    <row r="34" spans="1:8">
      <c r="A34" s="1" t="s">
        <v>32</v>
      </c>
      <c r="B34" s="2">
        <v>0.01590963266789913</v>
      </c>
      <c r="C34" s="1">
        <v>4</v>
      </c>
      <c r="D34" s="1">
        <v>84</v>
      </c>
      <c r="E34" s="1">
        <v>48</v>
      </c>
      <c r="F34" s="1">
        <v>32</v>
      </c>
      <c r="G34" s="1">
        <v>4</v>
      </c>
      <c r="H34" s="1">
        <v>0</v>
      </c>
    </row>
    <row r="124" spans="1:8">
      <c r="A124" t="s">
        <v>124</v>
      </c>
      <c r="B124">
        <f>SUBTOTAL(109,[ram_percent])</f>
        <v>0</v>
      </c>
      <c r="C124">
        <f>SUBTOTAL(109,[ram])</f>
        <v>0</v>
      </c>
      <c r="D124">
        <f>SUBTOTAL(109,[flash])</f>
        <v>0</v>
      </c>
      <c r="E124">
        <f>SUBTOTAL(109,[Code])</f>
        <v>0</v>
      </c>
      <c r="F124">
        <f>SUBTOTAL(109,[RO_data])</f>
        <v>0</v>
      </c>
      <c r="G124">
        <f>SUBTOTAL(109,[RW_data])</f>
        <v>0</v>
      </c>
      <c r="H12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2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123</v>
      </c>
      <c r="B2" t="s">
        <v>132</v>
      </c>
      <c r="C2" t="s">
        <v>127</v>
      </c>
      <c r="D2" t="s">
        <v>126</v>
      </c>
      <c r="E2" t="s">
        <v>128</v>
      </c>
      <c r="F2" t="s">
        <v>129</v>
      </c>
      <c r="G2" t="s">
        <v>130</v>
      </c>
      <c r="H2" t="s">
        <v>131</v>
      </c>
    </row>
    <row r="3" spans="1:8">
      <c r="A3" s="1" t="s">
        <v>33</v>
      </c>
      <c r="B3" s="2">
        <v>5.55370569229126</v>
      </c>
      <c r="C3" s="1">
        <v>3336</v>
      </c>
      <c r="D3" s="1">
        <v>0</v>
      </c>
      <c r="E3" s="1">
        <v>3312</v>
      </c>
      <c r="F3" s="1">
        <v>24</v>
      </c>
      <c r="G3" s="1">
        <v>0</v>
      </c>
      <c r="H3" s="1">
        <v>0</v>
      </c>
    </row>
    <row r="4" spans="1:8">
      <c r="A4" s="1" t="s">
        <v>34</v>
      </c>
      <c r="B4" s="2">
        <v>5.310647964477539</v>
      </c>
      <c r="C4" s="1">
        <v>3190</v>
      </c>
      <c r="D4" s="1">
        <v>0</v>
      </c>
      <c r="E4" s="1">
        <v>3190</v>
      </c>
      <c r="F4" s="1">
        <v>0</v>
      </c>
      <c r="G4" s="1">
        <v>0</v>
      </c>
      <c r="H4" s="1">
        <v>0</v>
      </c>
    </row>
    <row r="5" spans="1:8">
      <c r="A5" s="1" t="s">
        <v>22</v>
      </c>
      <c r="B5" s="2">
        <v>4.924418926239014</v>
      </c>
      <c r="C5" s="1">
        <v>2958</v>
      </c>
      <c r="D5" s="1">
        <v>16</v>
      </c>
      <c r="E5" s="1">
        <v>2942</v>
      </c>
      <c r="F5" s="1">
        <v>0</v>
      </c>
      <c r="G5" s="1">
        <v>16</v>
      </c>
      <c r="H5" s="1">
        <v>0</v>
      </c>
    </row>
    <row r="6" spans="1:8">
      <c r="A6" s="1" t="s">
        <v>35</v>
      </c>
      <c r="B6" s="2">
        <v>4.628087997436523</v>
      </c>
      <c r="C6" s="1">
        <v>2780</v>
      </c>
      <c r="D6" s="1">
        <v>0</v>
      </c>
      <c r="E6" s="1">
        <v>2780</v>
      </c>
      <c r="F6" s="1">
        <v>0</v>
      </c>
      <c r="G6" s="1">
        <v>0</v>
      </c>
      <c r="H6" s="1">
        <v>0</v>
      </c>
    </row>
    <row r="7" spans="1:8">
      <c r="A7" s="1" t="s">
        <v>36</v>
      </c>
      <c r="B7" s="2">
        <v>3.908903360366821</v>
      </c>
      <c r="C7" s="1">
        <v>2348</v>
      </c>
      <c r="D7" s="1">
        <v>0</v>
      </c>
      <c r="E7" s="1">
        <v>296</v>
      </c>
      <c r="F7" s="1">
        <v>2052</v>
      </c>
      <c r="G7" s="1">
        <v>0</v>
      </c>
      <c r="H7" s="1">
        <v>0</v>
      </c>
    </row>
    <row r="8" spans="1:8">
      <c r="A8" s="1" t="s">
        <v>37</v>
      </c>
      <c r="B8" s="2">
        <v>3.692481756210327</v>
      </c>
      <c r="C8" s="1">
        <v>2218</v>
      </c>
      <c r="D8" s="1">
        <v>0</v>
      </c>
      <c r="E8" s="1">
        <v>2218</v>
      </c>
      <c r="F8" s="1">
        <v>0</v>
      </c>
      <c r="G8" s="1">
        <v>0</v>
      </c>
      <c r="H8" s="1">
        <v>0</v>
      </c>
    </row>
    <row r="9" spans="1:8">
      <c r="A9" s="1" t="s">
        <v>38</v>
      </c>
      <c r="B9" s="2">
        <v>3.655856609344482</v>
      </c>
      <c r="C9" s="1">
        <v>2196</v>
      </c>
      <c r="D9" s="1">
        <v>0</v>
      </c>
      <c r="E9" s="1">
        <v>2196</v>
      </c>
      <c r="F9" s="1">
        <v>0</v>
      </c>
      <c r="G9" s="1">
        <v>0</v>
      </c>
      <c r="H9" s="1">
        <v>0</v>
      </c>
    </row>
    <row r="10" spans="1:8">
      <c r="A10" s="1" t="s">
        <v>39</v>
      </c>
      <c r="B10" s="2">
        <v>3.416128396987915</v>
      </c>
      <c r="C10" s="1">
        <v>2052</v>
      </c>
      <c r="D10" s="1">
        <v>0</v>
      </c>
      <c r="E10" s="1">
        <v>0</v>
      </c>
      <c r="F10" s="1">
        <v>2052</v>
      </c>
      <c r="G10" s="1">
        <v>0</v>
      </c>
      <c r="H10" s="1">
        <v>0</v>
      </c>
    </row>
    <row r="11" spans="1:8">
      <c r="A11" s="1" t="s">
        <v>40</v>
      </c>
      <c r="B11" s="2">
        <v>3.163081884384155</v>
      </c>
      <c r="C11" s="1">
        <v>1900</v>
      </c>
      <c r="D11" s="1">
        <v>0</v>
      </c>
      <c r="E11" s="1">
        <v>1900</v>
      </c>
      <c r="F11" s="1">
        <v>0</v>
      </c>
      <c r="G11" s="1">
        <v>0</v>
      </c>
      <c r="H11" s="1">
        <v>0</v>
      </c>
    </row>
    <row r="12" spans="1:8">
      <c r="A12" s="1" t="s">
        <v>41</v>
      </c>
      <c r="B12" s="2">
        <v>3.006592512130737</v>
      </c>
      <c r="C12" s="1">
        <v>1806</v>
      </c>
      <c r="D12" s="1">
        <v>0</v>
      </c>
      <c r="E12" s="1">
        <v>1806</v>
      </c>
      <c r="F12" s="1">
        <v>0</v>
      </c>
      <c r="G12" s="1">
        <v>0</v>
      </c>
      <c r="H12" s="1">
        <v>0</v>
      </c>
    </row>
    <row r="13" spans="1:8">
      <c r="A13" s="1" t="s">
        <v>9</v>
      </c>
      <c r="B13" s="2">
        <v>2.503829002380371</v>
      </c>
      <c r="C13" s="1">
        <v>1504</v>
      </c>
      <c r="D13" s="1">
        <v>300</v>
      </c>
      <c r="E13" s="1">
        <v>1444</v>
      </c>
      <c r="F13" s="1">
        <v>0</v>
      </c>
      <c r="G13" s="1">
        <v>60</v>
      </c>
      <c r="H13" s="1">
        <v>240</v>
      </c>
    </row>
    <row r="14" spans="1:8">
      <c r="A14" s="1" t="s">
        <v>42</v>
      </c>
      <c r="B14" s="2">
        <v>2.327362298965454</v>
      </c>
      <c r="C14" s="1">
        <v>1398</v>
      </c>
      <c r="D14" s="1">
        <v>0</v>
      </c>
      <c r="E14" s="1">
        <v>1398</v>
      </c>
      <c r="F14" s="1">
        <v>0</v>
      </c>
      <c r="G14" s="1">
        <v>0</v>
      </c>
      <c r="H14" s="1">
        <v>0</v>
      </c>
    </row>
    <row r="15" spans="1:8">
      <c r="A15" s="1" t="s">
        <v>43</v>
      </c>
      <c r="B15" s="2">
        <v>2.320703268051148</v>
      </c>
      <c r="C15" s="1">
        <v>1394</v>
      </c>
      <c r="D15" s="1">
        <v>0</v>
      </c>
      <c r="E15" s="1">
        <v>1394</v>
      </c>
      <c r="F15" s="1">
        <v>0</v>
      </c>
      <c r="G15" s="1">
        <v>0</v>
      </c>
      <c r="H15" s="1">
        <v>0</v>
      </c>
    </row>
    <row r="16" spans="1:8">
      <c r="A16" s="1" t="s">
        <v>44</v>
      </c>
      <c r="B16" s="2">
        <v>2.194180011749268</v>
      </c>
      <c r="C16" s="1">
        <v>1318</v>
      </c>
      <c r="D16" s="1">
        <v>0</v>
      </c>
      <c r="E16" s="1">
        <v>1318</v>
      </c>
      <c r="F16" s="1">
        <v>0</v>
      </c>
      <c r="G16" s="1">
        <v>0</v>
      </c>
      <c r="H16" s="1">
        <v>0</v>
      </c>
    </row>
    <row r="17" spans="1:8">
      <c r="A17" s="1" t="s">
        <v>45</v>
      </c>
      <c r="B17" s="2">
        <v>2.147566080093384</v>
      </c>
      <c r="C17" s="1">
        <v>1290</v>
      </c>
      <c r="D17" s="1">
        <v>0</v>
      </c>
      <c r="E17" s="1">
        <v>1258</v>
      </c>
      <c r="F17" s="1">
        <v>32</v>
      </c>
      <c r="G17" s="1">
        <v>0</v>
      </c>
      <c r="H17" s="1">
        <v>0</v>
      </c>
    </row>
    <row r="18" spans="1:8">
      <c r="A18" s="1" t="s">
        <v>26</v>
      </c>
      <c r="B18" s="2">
        <v>2.001065492630005</v>
      </c>
      <c r="C18" s="1">
        <v>1202</v>
      </c>
      <c r="D18" s="1">
        <v>8</v>
      </c>
      <c r="E18" s="1">
        <v>1014</v>
      </c>
      <c r="F18" s="1">
        <v>180</v>
      </c>
      <c r="G18" s="1">
        <v>8</v>
      </c>
      <c r="H18" s="1">
        <v>0</v>
      </c>
    </row>
    <row r="19" spans="1:8">
      <c r="A19" s="1" t="s">
        <v>46</v>
      </c>
      <c r="B19" s="2">
        <v>1.971099376678467</v>
      </c>
      <c r="C19" s="1">
        <v>1184</v>
      </c>
      <c r="D19" s="1">
        <v>0</v>
      </c>
      <c r="E19" s="1">
        <v>1184</v>
      </c>
      <c r="F19" s="1">
        <v>0</v>
      </c>
      <c r="G19" s="1">
        <v>0</v>
      </c>
      <c r="H19" s="1">
        <v>0</v>
      </c>
    </row>
    <row r="20" spans="1:8">
      <c r="A20" s="1" t="s">
        <v>27</v>
      </c>
      <c r="B20" s="2">
        <v>1.794632792472839</v>
      </c>
      <c r="C20" s="1">
        <v>1078</v>
      </c>
      <c r="D20" s="1">
        <v>8</v>
      </c>
      <c r="E20" s="1">
        <v>1070</v>
      </c>
      <c r="F20" s="1">
        <v>0</v>
      </c>
      <c r="G20" s="1">
        <v>8</v>
      </c>
      <c r="H20" s="1">
        <v>0</v>
      </c>
    </row>
    <row r="21" spans="1:8">
      <c r="A21" s="1" t="s">
        <v>47</v>
      </c>
      <c r="B21" s="2">
        <v>1.641473054885864</v>
      </c>
      <c r="C21" s="1">
        <v>986</v>
      </c>
      <c r="D21" s="1">
        <v>0</v>
      </c>
      <c r="E21" s="1">
        <v>986</v>
      </c>
      <c r="F21" s="1">
        <v>0</v>
      </c>
      <c r="G21" s="1">
        <v>0</v>
      </c>
      <c r="H21" s="1">
        <v>0</v>
      </c>
    </row>
    <row r="22" spans="1:8">
      <c r="A22" s="1" t="s">
        <v>48</v>
      </c>
      <c r="B22" s="2">
        <v>1.591529607772827</v>
      </c>
      <c r="C22" s="1">
        <v>956</v>
      </c>
      <c r="D22" s="1">
        <v>0</v>
      </c>
      <c r="E22" s="1">
        <v>956</v>
      </c>
      <c r="F22" s="1">
        <v>0</v>
      </c>
      <c r="G22" s="1">
        <v>0</v>
      </c>
      <c r="H22" s="1">
        <v>0</v>
      </c>
    </row>
    <row r="23" spans="1:8">
      <c r="A23" s="1" t="s">
        <v>49</v>
      </c>
      <c r="B23" s="2">
        <v>1.385096907615662</v>
      </c>
      <c r="C23" s="1">
        <v>832</v>
      </c>
      <c r="D23" s="1">
        <v>0</v>
      </c>
      <c r="E23" s="1">
        <v>832</v>
      </c>
      <c r="F23" s="1">
        <v>0</v>
      </c>
      <c r="G23" s="1">
        <v>0</v>
      </c>
      <c r="H23" s="1">
        <v>0</v>
      </c>
    </row>
    <row r="24" spans="1:8">
      <c r="A24" s="1" t="s">
        <v>7</v>
      </c>
      <c r="B24" s="2">
        <v>1.315176129341126</v>
      </c>
      <c r="C24" s="1">
        <v>790</v>
      </c>
      <c r="D24" s="1">
        <v>356</v>
      </c>
      <c r="E24" s="1">
        <v>434</v>
      </c>
      <c r="F24" s="1">
        <v>352</v>
      </c>
      <c r="G24" s="1">
        <v>4</v>
      </c>
      <c r="H24" s="1">
        <v>352</v>
      </c>
    </row>
    <row r="25" spans="1:8">
      <c r="A25" s="1" t="s">
        <v>50</v>
      </c>
      <c r="B25" s="2">
        <v>1.305187463760376</v>
      </c>
      <c r="C25" s="1">
        <v>784</v>
      </c>
      <c r="D25" s="1">
        <v>0</v>
      </c>
      <c r="E25" s="1">
        <v>784</v>
      </c>
      <c r="F25" s="1">
        <v>0</v>
      </c>
      <c r="G25" s="1">
        <v>0</v>
      </c>
      <c r="H25" s="1">
        <v>0</v>
      </c>
    </row>
    <row r="26" spans="1:8">
      <c r="A26" s="1" t="s">
        <v>10</v>
      </c>
      <c r="B26" s="2">
        <v>1.258573651313782</v>
      </c>
      <c r="C26" s="1">
        <v>756</v>
      </c>
      <c r="D26" s="1">
        <v>228</v>
      </c>
      <c r="E26" s="1">
        <v>756</v>
      </c>
      <c r="F26" s="1">
        <v>0</v>
      </c>
      <c r="G26" s="1">
        <v>0</v>
      </c>
      <c r="H26" s="1">
        <v>228</v>
      </c>
    </row>
    <row r="27" spans="1:8">
      <c r="A27" s="1" t="s">
        <v>51</v>
      </c>
      <c r="B27" s="2">
        <v>1.198641538619995</v>
      </c>
      <c r="C27" s="1">
        <v>720</v>
      </c>
      <c r="D27" s="1">
        <v>0</v>
      </c>
      <c r="E27" s="1">
        <v>720</v>
      </c>
      <c r="F27" s="1">
        <v>0</v>
      </c>
      <c r="G27" s="1">
        <v>0</v>
      </c>
      <c r="H27" s="1">
        <v>0</v>
      </c>
    </row>
    <row r="28" spans="1:8">
      <c r="A28" s="1" t="s">
        <v>24</v>
      </c>
      <c r="B28" s="2">
        <v>1.188652873039246</v>
      </c>
      <c r="C28" s="1">
        <v>714</v>
      </c>
      <c r="D28" s="1">
        <v>12</v>
      </c>
      <c r="E28" s="1">
        <v>702</v>
      </c>
      <c r="F28" s="1">
        <v>0</v>
      </c>
      <c r="G28" s="1">
        <v>12</v>
      </c>
      <c r="H28" s="1">
        <v>0</v>
      </c>
    </row>
    <row r="29" spans="1:8">
      <c r="A29" s="1" t="s">
        <v>52</v>
      </c>
      <c r="B29" s="2">
        <v>1.165345907211304</v>
      </c>
      <c r="C29" s="1">
        <v>700</v>
      </c>
      <c r="D29" s="1">
        <v>0</v>
      </c>
      <c r="E29" s="1">
        <v>700</v>
      </c>
      <c r="F29" s="1">
        <v>0</v>
      </c>
      <c r="G29" s="1">
        <v>0</v>
      </c>
      <c r="H29" s="1">
        <v>0</v>
      </c>
    </row>
    <row r="30" spans="1:8">
      <c r="A30" s="1" t="s">
        <v>53</v>
      </c>
      <c r="B30" s="2">
        <v>1.102084279060364</v>
      </c>
      <c r="C30" s="1">
        <v>662</v>
      </c>
      <c r="D30" s="1">
        <v>0</v>
      </c>
      <c r="E30" s="1">
        <v>662</v>
      </c>
      <c r="F30" s="1">
        <v>0</v>
      </c>
      <c r="G30" s="1">
        <v>0</v>
      </c>
      <c r="H30" s="1">
        <v>0</v>
      </c>
    </row>
    <row r="31" spans="1:8">
      <c r="A31" s="1" t="s">
        <v>54</v>
      </c>
      <c r="B31" s="2">
        <v>1.088766098022461</v>
      </c>
      <c r="C31" s="1">
        <v>654</v>
      </c>
      <c r="D31" s="1">
        <v>0</v>
      </c>
      <c r="E31" s="1">
        <v>318</v>
      </c>
      <c r="F31" s="1">
        <v>336</v>
      </c>
      <c r="G31" s="1">
        <v>0</v>
      </c>
      <c r="H31" s="1">
        <v>0</v>
      </c>
    </row>
    <row r="32" spans="1:8">
      <c r="A32" s="1" t="s">
        <v>3</v>
      </c>
      <c r="B32" s="2">
        <v>1.065459132194519</v>
      </c>
      <c r="C32" s="1">
        <v>640</v>
      </c>
      <c r="D32" s="1">
        <v>1644</v>
      </c>
      <c r="E32" s="1">
        <v>636</v>
      </c>
      <c r="F32" s="1">
        <v>0</v>
      </c>
      <c r="G32" s="1">
        <v>4</v>
      </c>
      <c r="H32" s="1">
        <v>1640</v>
      </c>
    </row>
    <row r="33" spans="1:8">
      <c r="A33" s="1" t="s">
        <v>55</v>
      </c>
      <c r="B33" s="2">
        <v>1.038822650909424</v>
      </c>
      <c r="C33" s="1">
        <v>624</v>
      </c>
      <c r="D33" s="1">
        <v>0</v>
      </c>
      <c r="E33" s="1">
        <v>624</v>
      </c>
      <c r="F33" s="1">
        <v>0</v>
      </c>
      <c r="G33" s="1">
        <v>0</v>
      </c>
      <c r="H33" s="1">
        <v>0</v>
      </c>
    </row>
    <row r="34" spans="1:8">
      <c r="A34" s="1" t="s">
        <v>56</v>
      </c>
      <c r="B34" s="2">
        <v>0.9256176352500916</v>
      </c>
      <c r="C34" s="1">
        <v>556</v>
      </c>
      <c r="D34" s="1">
        <v>0</v>
      </c>
      <c r="E34" s="1">
        <v>44</v>
      </c>
      <c r="F34" s="1">
        <v>512</v>
      </c>
      <c r="G34" s="1">
        <v>0</v>
      </c>
      <c r="H34" s="1">
        <v>0</v>
      </c>
    </row>
    <row r="35" spans="1:8">
      <c r="A35" s="1" t="s">
        <v>2</v>
      </c>
      <c r="B35" s="2">
        <v>0.8590264320373535</v>
      </c>
      <c r="C35" s="1">
        <v>516</v>
      </c>
      <c r="D35" s="1">
        <v>1664</v>
      </c>
      <c r="E35" s="1">
        <v>516</v>
      </c>
      <c r="F35" s="1">
        <v>0</v>
      </c>
      <c r="G35" s="1">
        <v>0</v>
      </c>
      <c r="H35" s="1">
        <v>1664</v>
      </c>
    </row>
    <row r="36" spans="1:8">
      <c r="A36" s="1" t="s">
        <v>1</v>
      </c>
      <c r="B36" s="2">
        <v>0.8523673415184021</v>
      </c>
      <c r="C36" s="1">
        <v>512</v>
      </c>
      <c r="D36" s="1">
        <v>16416</v>
      </c>
      <c r="E36" s="1">
        <v>480</v>
      </c>
      <c r="F36" s="1">
        <v>0</v>
      </c>
      <c r="G36" s="1">
        <v>32</v>
      </c>
      <c r="H36" s="1">
        <v>16384</v>
      </c>
    </row>
    <row r="37" spans="1:8">
      <c r="A37" s="1" t="s">
        <v>4</v>
      </c>
      <c r="B37" s="2">
        <v>0.8457081913948059</v>
      </c>
      <c r="C37" s="1">
        <v>508</v>
      </c>
      <c r="D37" s="1">
        <v>1536</v>
      </c>
      <c r="E37" s="1">
        <v>36</v>
      </c>
      <c r="F37" s="1">
        <v>472</v>
      </c>
      <c r="G37" s="1">
        <v>0</v>
      </c>
      <c r="H37" s="1">
        <v>1536</v>
      </c>
    </row>
    <row r="38" spans="1:8">
      <c r="A38" s="1" t="s">
        <v>20</v>
      </c>
      <c r="B38" s="2">
        <v>0.7674635648727417</v>
      </c>
      <c r="C38" s="1">
        <v>461</v>
      </c>
      <c r="D38" s="1">
        <v>23</v>
      </c>
      <c r="E38" s="1">
        <v>426</v>
      </c>
      <c r="F38" s="1">
        <v>12</v>
      </c>
      <c r="G38" s="1">
        <v>23</v>
      </c>
      <c r="H38" s="1">
        <v>0</v>
      </c>
    </row>
    <row r="39" spans="1:8">
      <c r="A39" s="1" t="s">
        <v>57</v>
      </c>
      <c r="B39" s="2">
        <v>0.7524805068969727</v>
      </c>
      <c r="C39" s="1">
        <v>452</v>
      </c>
      <c r="D39" s="1">
        <v>0</v>
      </c>
      <c r="E39" s="1">
        <v>452</v>
      </c>
      <c r="F39" s="1">
        <v>0</v>
      </c>
      <c r="G39" s="1">
        <v>0</v>
      </c>
      <c r="H39" s="1">
        <v>0</v>
      </c>
    </row>
    <row r="40" spans="1:8">
      <c r="A40" s="1" t="s">
        <v>5</v>
      </c>
      <c r="B40" s="2">
        <v>0.7524805068969727</v>
      </c>
      <c r="C40" s="1">
        <v>452</v>
      </c>
      <c r="D40" s="1">
        <v>1031</v>
      </c>
      <c r="E40" s="1">
        <v>452</v>
      </c>
      <c r="F40" s="1">
        <v>0</v>
      </c>
      <c r="G40" s="1">
        <v>0</v>
      </c>
      <c r="H40" s="1">
        <v>1031</v>
      </c>
    </row>
    <row r="41" spans="1:8">
      <c r="A41" s="1" t="s">
        <v>17</v>
      </c>
      <c r="B41" s="2">
        <v>0.7358327507972717</v>
      </c>
      <c r="C41" s="1">
        <v>442</v>
      </c>
      <c r="D41" s="1">
        <v>84</v>
      </c>
      <c r="E41" s="1">
        <v>386</v>
      </c>
      <c r="F41" s="1">
        <v>56</v>
      </c>
      <c r="G41" s="1">
        <v>0</v>
      </c>
      <c r="H41" s="1">
        <v>84</v>
      </c>
    </row>
    <row r="42" spans="1:8">
      <c r="A42" s="1" t="s">
        <v>14</v>
      </c>
      <c r="B42" s="2">
        <v>0.7325031757354736</v>
      </c>
      <c r="C42" s="1">
        <v>440</v>
      </c>
      <c r="D42" s="1">
        <v>108</v>
      </c>
      <c r="E42" s="1">
        <v>440</v>
      </c>
      <c r="F42" s="1">
        <v>0</v>
      </c>
      <c r="G42" s="1">
        <v>0</v>
      </c>
      <c r="H42" s="1">
        <v>108</v>
      </c>
    </row>
    <row r="43" spans="1:8">
      <c r="A43" s="1" t="s">
        <v>58</v>
      </c>
      <c r="B43" s="2">
        <v>0.6825597882270813</v>
      </c>
      <c r="C43" s="1">
        <v>410</v>
      </c>
      <c r="D43" s="1">
        <v>0</v>
      </c>
      <c r="E43" s="1">
        <v>330</v>
      </c>
      <c r="F43" s="1">
        <v>80</v>
      </c>
      <c r="G43" s="1">
        <v>0</v>
      </c>
      <c r="H43" s="1">
        <v>0</v>
      </c>
    </row>
    <row r="44" spans="1:8">
      <c r="A44" s="1" t="s">
        <v>59</v>
      </c>
      <c r="B44" s="2">
        <v>0.6659119725227356</v>
      </c>
      <c r="C44" s="1">
        <v>400</v>
      </c>
      <c r="D44" s="1">
        <v>0</v>
      </c>
      <c r="E44" s="1">
        <v>400</v>
      </c>
      <c r="F44" s="1">
        <v>0</v>
      </c>
      <c r="G44" s="1">
        <v>0</v>
      </c>
      <c r="H44" s="1">
        <v>0</v>
      </c>
    </row>
    <row r="45" spans="1:8">
      <c r="A45" s="1" t="s">
        <v>60</v>
      </c>
      <c r="B45" s="2">
        <v>0.6192981004714966</v>
      </c>
      <c r="C45" s="1">
        <v>372</v>
      </c>
      <c r="D45" s="1">
        <v>0</v>
      </c>
      <c r="E45" s="1">
        <v>340</v>
      </c>
      <c r="F45" s="1">
        <v>32</v>
      </c>
      <c r="G45" s="1">
        <v>0</v>
      </c>
      <c r="H45" s="1">
        <v>0</v>
      </c>
    </row>
    <row r="46" spans="1:8">
      <c r="A46" s="1" t="s">
        <v>61</v>
      </c>
      <c r="B46" s="2">
        <v>0.6093094348907471</v>
      </c>
      <c r="C46" s="1">
        <v>366</v>
      </c>
      <c r="D46" s="1">
        <v>0</v>
      </c>
      <c r="E46" s="1">
        <v>366</v>
      </c>
      <c r="F46" s="1">
        <v>0</v>
      </c>
      <c r="G46" s="1">
        <v>0</v>
      </c>
      <c r="H46" s="1">
        <v>0</v>
      </c>
    </row>
    <row r="47" spans="1:8">
      <c r="A47" s="1" t="s">
        <v>8</v>
      </c>
      <c r="B47" s="2">
        <v>0.5726842880249023</v>
      </c>
      <c r="C47" s="1">
        <v>344</v>
      </c>
      <c r="D47" s="1">
        <v>340</v>
      </c>
      <c r="E47" s="1">
        <v>344</v>
      </c>
      <c r="F47" s="1">
        <v>0</v>
      </c>
      <c r="G47" s="1">
        <v>0</v>
      </c>
      <c r="H47" s="1">
        <v>340</v>
      </c>
    </row>
    <row r="48" spans="1:8">
      <c r="A48" s="1" t="s">
        <v>62</v>
      </c>
      <c r="B48" s="2">
        <v>0.5560364723205566</v>
      </c>
      <c r="C48" s="1">
        <v>334</v>
      </c>
      <c r="D48" s="1">
        <v>0</v>
      </c>
      <c r="E48" s="1">
        <v>334</v>
      </c>
      <c r="F48" s="1">
        <v>0</v>
      </c>
      <c r="G48" s="1">
        <v>0</v>
      </c>
      <c r="H48" s="1">
        <v>0</v>
      </c>
    </row>
    <row r="49" spans="1:8">
      <c r="A49" s="1" t="s">
        <v>12</v>
      </c>
      <c r="B49" s="2">
        <v>0.5527069568634033</v>
      </c>
      <c r="C49" s="1">
        <v>332</v>
      </c>
      <c r="D49" s="1">
        <v>200</v>
      </c>
      <c r="E49" s="1">
        <v>332</v>
      </c>
      <c r="F49" s="1">
        <v>0</v>
      </c>
      <c r="G49" s="1">
        <v>0</v>
      </c>
      <c r="H49" s="1">
        <v>200</v>
      </c>
    </row>
    <row r="50" spans="1:8">
      <c r="A50" s="1" t="s">
        <v>63</v>
      </c>
      <c r="B50" s="2">
        <v>0.5293999910354614</v>
      </c>
      <c r="C50" s="1">
        <v>318</v>
      </c>
      <c r="D50" s="1">
        <v>0</v>
      </c>
      <c r="E50" s="1">
        <v>318</v>
      </c>
      <c r="F50" s="1">
        <v>0</v>
      </c>
      <c r="G50" s="1">
        <v>0</v>
      </c>
      <c r="H50" s="1">
        <v>0</v>
      </c>
    </row>
    <row r="51" spans="1:8">
      <c r="A51" s="1" t="s">
        <v>64</v>
      </c>
      <c r="B51" s="2">
        <v>0.5127522349357605</v>
      </c>
      <c r="C51" s="1">
        <v>308</v>
      </c>
      <c r="D51" s="1">
        <v>0</v>
      </c>
      <c r="E51" s="1">
        <v>292</v>
      </c>
      <c r="F51" s="1">
        <v>16</v>
      </c>
      <c r="G51" s="1">
        <v>0</v>
      </c>
      <c r="H51" s="1">
        <v>0</v>
      </c>
    </row>
    <row r="52" spans="1:8">
      <c r="A52" s="1" t="s">
        <v>65</v>
      </c>
      <c r="B52" s="2">
        <v>0.4628088176250458</v>
      </c>
      <c r="C52" s="1">
        <v>278</v>
      </c>
      <c r="D52" s="1">
        <v>0</v>
      </c>
      <c r="E52" s="1">
        <v>278</v>
      </c>
      <c r="F52" s="1">
        <v>0</v>
      </c>
      <c r="G52" s="1">
        <v>0</v>
      </c>
      <c r="H52" s="1">
        <v>0</v>
      </c>
    </row>
    <row r="53" spans="1:8">
      <c r="A53" s="1" t="s">
        <v>31</v>
      </c>
      <c r="B53" s="2">
        <v>0.4528201520442963</v>
      </c>
      <c r="C53" s="1">
        <v>272</v>
      </c>
      <c r="D53" s="1">
        <v>4</v>
      </c>
      <c r="E53" s="1">
        <v>268</v>
      </c>
      <c r="F53" s="1">
        <v>0</v>
      </c>
      <c r="G53" s="1">
        <v>4</v>
      </c>
      <c r="H53" s="1">
        <v>0</v>
      </c>
    </row>
    <row r="54" spans="1:8">
      <c r="A54" s="1" t="s">
        <v>66</v>
      </c>
      <c r="B54" s="2">
        <v>0.4528201520442963</v>
      </c>
      <c r="C54" s="1">
        <v>272</v>
      </c>
      <c r="D54" s="1">
        <v>0</v>
      </c>
      <c r="E54" s="1">
        <v>272</v>
      </c>
      <c r="F54" s="1">
        <v>0</v>
      </c>
      <c r="G54" s="1">
        <v>0</v>
      </c>
      <c r="H54" s="1">
        <v>0</v>
      </c>
    </row>
    <row r="55" spans="1:8">
      <c r="A55" s="1" t="s">
        <v>67</v>
      </c>
      <c r="B55" s="2">
        <v>0.4195245504379273</v>
      </c>
      <c r="C55" s="1">
        <v>252</v>
      </c>
      <c r="D55" s="1">
        <v>0</v>
      </c>
      <c r="E55" s="1">
        <v>220</v>
      </c>
      <c r="F55" s="1">
        <v>32</v>
      </c>
      <c r="G55" s="1">
        <v>0</v>
      </c>
      <c r="H55" s="1">
        <v>0</v>
      </c>
    </row>
    <row r="56" spans="1:8">
      <c r="A56" s="1" t="s">
        <v>16</v>
      </c>
      <c r="B56" s="2">
        <v>0.4195245504379273</v>
      </c>
      <c r="C56" s="1">
        <v>252</v>
      </c>
      <c r="D56" s="1">
        <v>84</v>
      </c>
      <c r="E56" s="1">
        <v>252</v>
      </c>
      <c r="F56" s="1">
        <v>0</v>
      </c>
      <c r="G56" s="1">
        <v>0</v>
      </c>
      <c r="H56" s="1">
        <v>84</v>
      </c>
    </row>
    <row r="57" spans="1:8">
      <c r="A57" s="1" t="s">
        <v>68</v>
      </c>
      <c r="B57" s="2">
        <v>0.3895584940910339</v>
      </c>
      <c r="C57" s="1">
        <v>234</v>
      </c>
      <c r="D57" s="1">
        <v>0</v>
      </c>
      <c r="E57" s="1">
        <v>234</v>
      </c>
      <c r="F57" s="1">
        <v>0</v>
      </c>
      <c r="G57" s="1">
        <v>0</v>
      </c>
      <c r="H57" s="1">
        <v>0</v>
      </c>
    </row>
    <row r="58" spans="1:8">
      <c r="A58" s="1" t="s">
        <v>69</v>
      </c>
      <c r="B58" s="2">
        <v>0.3795698285102844</v>
      </c>
      <c r="C58" s="1">
        <v>228</v>
      </c>
      <c r="D58" s="1">
        <v>0</v>
      </c>
      <c r="E58" s="1">
        <v>228</v>
      </c>
      <c r="F58" s="1">
        <v>0</v>
      </c>
      <c r="G58" s="1">
        <v>0</v>
      </c>
      <c r="H58" s="1">
        <v>0</v>
      </c>
    </row>
    <row r="59" spans="1:8">
      <c r="A59" s="1" t="s">
        <v>70</v>
      </c>
      <c r="B59" s="2">
        <v>0.3695811331272125</v>
      </c>
      <c r="C59" s="1">
        <v>222</v>
      </c>
      <c r="D59" s="1">
        <v>0</v>
      </c>
      <c r="E59" s="1">
        <v>222</v>
      </c>
      <c r="F59" s="1">
        <v>0</v>
      </c>
      <c r="G59" s="1">
        <v>0</v>
      </c>
      <c r="H59" s="1">
        <v>0</v>
      </c>
    </row>
    <row r="60" spans="1:8">
      <c r="A60" s="1" t="s">
        <v>71</v>
      </c>
      <c r="B60" s="2">
        <v>0.3662515878677368</v>
      </c>
      <c r="C60" s="1">
        <v>220</v>
      </c>
      <c r="D60" s="1">
        <v>0</v>
      </c>
      <c r="E60" s="1">
        <v>220</v>
      </c>
      <c r="F60" s="1">
        <v>0</v>
      </c>
      <c r="G60" s="1">
        <v>0</v>
      </c>
      <c r="H60" s="1">
        <v>0</v>
      </c>
    </row>
    <row r="61" spans="1:8">
      <c r="A61" s="1" t="s">
        <v>15</v>
      </c>
      <c r="B61" s="2">
        <v>0.3662515878677368</v>
      </c>
      <c r="C61" s="1">
        <v>220</v>
      </c>
      <c r="D61" s="1">
        <v>100</v>
      </c>
      <c r="E61" s="1">
        <v>220</v>
      </c>
      <c r="F61" s="1">
        <v>0</v>
      </c>
      <c r="G61" s="1">
        <v>0</v>
      </c>
      <c r="H61" s="1">
        <v>100</v>
      </c>
    </row>
    <row r="62" spans="1:8">
      <c r="A62" s="1" t="s">
        <v>72</v>
      </c>
      <c r="B62" s="2">
        <v>0.3662515878677368</v>
      </c>
      <c r="C62" s="1">
        <v>220</v>
      </c>
      <c r="D62" s="1">
        <v>0</v>
      </c>
      <c r="E62" s="1">
        <v>204</v>
      </c>
      <c r="F62" s="1">
        <v>16</v>
      </c>
      <c r="G62" s="1">
        <v>0</v>
      </c>
      <c r="H62" s="1">
        <v>0</v>
      </c>
    </row>
    <row r="63" spans="1:8">
      <c r="A63" s="1" t="s">
        <v>73</v>
      </c>
      <c r="B63" s="2">
        <v>0.3396151065826416</v>
      </c>
      <c r="C63" s="1">
        <v>204</v>
      </c>
      <c r="D63" s="1">
        <v>0</v>
      </c>
      <c r="E63" s="1">
        <v>204</v>
      </c>
      <c r="F63" s="1">
        <v>0</v>
      </c>
      <c r="G63" s="1">
        <v>0</v>
      </c>
      <c r="H63" s="1">
        <v>0</v>
      </c>
    </row>
    <row r="64" spans="1:8">
      <c r="A64" s="1" t="s">
        <v>74</v>
      </c>
      <c r="B64" s="2">
        <v>0.3129786252975464</v>
      </c>
      <c r="C64" s="1">
        <v>188</v>
      </c>
      <c r="D64" s="1">
        <v>0</v>
      </c>
      <c r="E64" s="1">
        <v>188</v>
      </c>
      <c r="F64" s="1">
        <v>0</v>
      </c>
      <c r="G64" s="1">
        <v>0</v>
      </c>
      <c r="H64" s="1">
        <v>0</v>
      </c>
    </row>
    <row r="65" spans="1:8">
      <c r="A65" s="1" t="s">
        <v>21</v>
      </c>
      <c r="B65" s="2">
        <v>0.3129786252975464</v>
      </c>
      <c r="C65" s="1">
        <v>188</v>
      </c>
      <c r="D65" s="1">
        <v>20</v>
      </c>
      <c r="E65" s="1">
        <v>188</v>
      </c>
      <c r="F65" s="1">
        <v>0</v>
      </c>
      <c r="G65" s="1">
        <v>0</v>
      </c>
      <c r="H65" s="1">
        <v>20</v>
      </c>
    </row>
    <row r="66" spans="1:8">
      <c r="A66" s="1" t="s">
        <v>75</v>
      </c>
      <c r="B66" s="2">
        <v>0.3096490502357483</v>
      </c>
      <c r="C66" s="1">
        <v>186</v>
      </c>
      <c r="D66" s="1">
        <v>0</v>
      </c>
      <c r="E66" s="1">
        <v>186</v>
      </c>
      <c r="F66" s="1">
        <v>0</v>
      </c>
      <c r="G66" s="1">
        <v>0</v>
      </c>
      <c r="H66" s="1">
        <v>0</v>
      </c>
    </row>
    <row r="67" spans="1:8">
      <c r="A67" s="1" t="s">
        <v>76</v>
      </c>
      <c r="B67" s="2">
        <v>0.293001264333725</v>
      </c>
      <c r="C67" s="1">
        <v>176</v>
      </c>
      <c r="D67" s="1">
        <v>0</v>
      </c>
      <c r="E67" s="1">
        <v>176</v>
      </c>
      <c r="F67" s="1">
        <v>0</v>
      </c>
      <c r="G67" s="1">
        <v>0</v>
      </c>
      <c r="H67" s="1">
        <v>0</v>
      </c>
    </row>
    <row r="68" spans="1:8">
      <c r="A68" s="1" t="s">
        <v>77</v>
      </c>
      <c r="B68" s="2">
        <v>0.293001264333725</v>
      </c>
      <c r="C68" s="1">
        <v>176</v>
      </c>
      <c r="D68" s="1">
        <v>0</v>
      </c>
      <c r="E68" s="1">
        <v>176</v>
      </c>
      <c r="F68" s="1">
        <v>0</v>
      </c>
      <c r="G68" s="1">
        <v>0</v>
      </c>
      <c r="H68" s="1">
        <v>0</v>
      </c>
    </row>
    <row r="69" spans="1:8">
      <c r="A69" s="1" t="s">
        <v>11</v>
      </c>
      <c r="B69" s="2">
        <v>0.2663647830486298</v>
      </c>
      <c r="C69" s="1">
        <v>160</v>
      </c>
      <c r="D69" s="1">
        <v>224</v>
      </c>
      <c r="E69" s="1">
        <v>160</v>
      </c>
      <c r="F69" s="1">
        <v>0</v>
      </c>
      <c r="G69" s="1">
        <v>0</v>
      </c>
      <c r="H69" s="1">
        <v>224</v>
      </c>
    </row>
    <row r="70" spans="1:8">
      <c r="A70" s="1" t="s">
        <v>78</v>
      </c>
      <c r="B70" s="2">
        <v>0.2630352377891541</v>
      </c>
      <c r="C70" s="1">
        <v>158</v>
      </c>
      <c r="D70" s="1">
        <v>0</v>
      </c>
      <c r="E70" s="1">
        <v>158</v>
      </c>
      <c r="F70" s="1">
        <v>0</v>
      </c>
      <c r="G70" s="1">
        <v>0</v>
      </c>
      <c r="H70" s="1">
        <v>0</v>
      </c>
    </row>
    <row r="71" spans="1:8">
      <c r="A71" s="1" t="s">
        <v>79</v>
      </c>
      <c r="B71" s="2">
        <v>0.2563761174678803</v>
      </c>
      <c r="C71" s="1">
        <v>154</v>
      </c>
      <c r="D71" s="1">
        <v>0</v>
      </c>
      <c r="E71" s="1">
        <v>154</v>
      </c>
      <c r="F71" s="1">
        <v>0</v>
      </c>
      <c r="G71" s="1">
        <v>0</v>
      </c>
      <c r="H71" s="1">
        <v>0</v>
      </c>
    </row>
    <row r="72" spans="1:8">
      <c r="A72" s="1" t="s">
        <v>80</v>
      </c>
      <c r="B72" s="2">
        <v>0.2530465424060822</v>
      </c>
      <c r="C72" s="1">
        <v>152</v>
      </c>
      <c r="D72" s="1">
        <v>0</v>
      </c>
      <c r="E72" s="1">
        <v>152</v>
      </c>
      <c r="F72" s="1">
        <v>0</v>
      </c>
      <c r="G72" s="1">
        <v>0</v>
      </c>
      <c r="H72" s="1">
        <v>0</v>
      </c>
    </row>
    <row r="73" spans="1:8">
      <c r="A73" s="1" t="s">
        <v>81</v>
      </c>
      <c r="B73" s="2">
        <v>0.2463874220848084</v>
      </c>
      <c r="C73" s="1">
        <v>148</v>
      </c>
      <c r="D73" s="1">
        <v>0</v>
      </c>
      <c r="E73" s="1">
        <v>148</v>
      </c>
      <c r="F73" s="1">
        <v>0</v>
      </c>
      <c r="G73" s="1">
        <v>0</v>
      </c>
      <c r="H73" s="1">
        <v>0</v>
      </c>
    </row>
    <row r="74" spans="1:8">
      <c r="A74" s="1" t="s">
        <v>82</v>
      </c>
      <c r="B74" s="2">
        <v>0.2397283017635346</v>
      </c>
      <c r="C74" s="1">
        <v>144</v>
      </c>
      <c r="D74" s="1">
        <v>0</v>
      </c>
      <c r="E74" s="1">
        <v>144</v>
      </c>
      <c r="F74" s="1">
        <v>0</v>
      </c>
      <c r="G74" s="1">
        <v>0</v>
      </c>
      <c r="H74" s="1">
        <v>0</v>
      </c>
    </row>
    <row r="75" spans="1:8">
      <c r="A75" s="1" t="s">
        <v>83</v>
      </c>
      <c r="B75" s="2">
        <v>0.2380635291337967</v>
      </c>
      <c r="C75" s="1">
        <v>143</v>
      </c>
      <c r="D75" s="1">
        <v>0</v>
      </c>
      <c r="E75" s="1">
        <v>0</v>
      </c>
      <c r="F75" s="1">
        <v>143</v>
      </c>
      <c r="G75" s="1">
        <v>0</v>
      </c>
      <c r="H75" s="1">
        <v>0</v>
      </c>
    </row>
    <row r="76" spans="1:8">
      <c r="A76" s="1" t="s">
        <v>84</v>
      </c>
      <c r="B76" s="2">
        <v>0.2363987416028976</v>
      </c>
      <c r="C76" s="1">
        <v>142</v>
      </c>
      <c r="D76" s="1">
        <v>0</v>
      </c>
      <c r="E76" s="1">
        <v>106</v>
      </c>
      <c r="F76" s="1">
        <v>36</v>
      </c>
      <c r="G76" s="1">
        <v>0</v>
      </c>
      <c r="H76" s="1">
        <v>0</v>
      </c>
    </row>
    <row r="77" spans="1:8">
      <c r="A77" s="1" t="s">
        <v>85</v>
      </c>
      <c r="B77" s="2">
        <v>0.2297396212816238</v>
      </c>
      <c r="C77" s="1">
        <v>138</v>
      </c>
      <c r="D77" s="1">
        <v>0</v>
      </c>
      <c r="E77" s="1">
        <v>138</v>
      </c>
      <c r="F77" s="1">
        <v>0</v>
      </c>
      <c r="G77" s="1">
        <v>0</v>
      </c>
      <c r="H77" s="1">
        <v>0</v>
      </c>
    </row>
    <row r="78" spans="1:8">
      <c r="A78" s="1" t="s">
        <v>18</v>
      </c>
      <c r="B78" s="2">
        <v>0.2264100760221481</v>
      </c>
      <c r="C78" s="1">
        <v>136</v>
      </c>
      <c r="D78" s="1">
        <v>76</v>
      </c>
      <c r="E78" s="1">
        <v>136</v>
      </c>
      <c r="F78" s="1">
        <v>0</v>
      </c>
      <c r="G78" s="1">
        <v>0</v>
      </c>
      <c r="H78" s="1">
        <v>76</v>
      </c>
    </row>
    <row r="79" spans="1:8">
      <c r="A79" s="1" t="s">
        <v>13</v>
      </c>
      <c r="B79" s="2">
        <v>0.1997735947370529</v>
      </c>
      <c r="C79" s="1">
        <v>120</v>
      </c>
      <c r="D79" s="1">
        <v>128</v>
      </c>
      <c r="E79" s="1">
        <v>120</v>
      </c>
      <c r="F79" s="1">
        <v>0</v>
      </c>
      <c r="G79" s="1">
        <v>0</v>
      </c>
      <c r="H79" s="1">
        <v>128</v>
      </c>
    </row>
    <row r="80" spans="1:8">
      <c r="A80" s="1" t="s">
        <v>86</v>
      </c>
      <c r="B80" s="2">
        <v>0.1897849142551422</v>
      </c>
      <c r="C80" s="1">
        <v>114</v>
      </c>
      <c r="D80" s="1">
        <v>0</v>
      </c>
      <c r="E80" s="1">
        <v>82</v>
      </c>
      <c r="F80" s="1">
        <v>32</v>
      </c>
      <c r="G80" s="1">
        <v>0</v>
      </c>
      <c r="H80" s="1">
        <v>0</v>
      </c>
    </row>
    <row r="81" spans="1:8">
      <c r="A81" s="1" t="s">
        <v>87</v>
      </c>
      <c r="B81" s="2">
        <v>0.1864553540945053</v>
      </c>
      <c r="C81" s="1">
        <v>112</v>
      </c>
      <c r="D81" s="1">
        <v>0</v>
      </c>
      <c r="E81" s="1">
        <v>112</v>
      </c>
      <c r="F81" s="1">
        <v>0</v>
      </c>
      <c r="G81" s="1">
        <v>0</v>
      </c>
      <c r="H81" s="1">
        <v>0</v>
      </c>
    </row>
    <row r="82" spans="1:8">
      <c r="A82" s="1" t="s">
        <v>88</v>
      </c>
      <c r="B82" s="2">
        <v>0.1831257939338684</v>
      </c>
      <c r="C82" s="1">
        <v>110</v>
      </c>
      <c r="D82" s="1">
        <v>0</v>
      </c>
      <c r="E82" s="1">
        <v>110</v>
      </c>
      <c r="F82" s="1">
        <v>0</v>
      </c>
      <c r="G82" s="1">
        <v>0</v>
      </c>
      <c r="H82" s="1">
        <v>0</v>
      </c>
    </row>
    <row r="83" spans="1:8">
      <c r="A83" s="1" t="s">
        <v>89</v>
      </c>
      <c r="B83" s="2">
        <v>0.163148432970047</v>
      </c>
      <c r="C83" s="1">
        <v>98</v>
      </c>
      <c r="D83" s="1">
        <v>0</v>
      </c>
      <c r="E83" s="1">
        <v>98</v>
      </c>
      <c r="F83" s="1">
        <v>0</v>
      </c>
      <c r="G83" s="1">
        <v>0</v>
      </c>
      <c r="H83" s="1">
        <v>0</v>
      </c>
    </row>
    <row r="84" spans="1:8">
      <c r="A84" s="1" t="s">
        <v>90</v>
      </c>
      <c r="B84" s="2">
        <v>0.163148432970047</v>
      </c>
      <c r="C84" s="1">
        <v>98</v>
      </c>
      <c r="D84" s="1">
        <v>0</v>
      </c>
      <c r="E84" s="1">
        <v>98</v>
      </c>
      <c r="F84" s="1">
        <v>0</v>
      </c>
      <c r="G84" s="1">
        <v>0</v>
      </c>
      <c r="H84" s="1">
        <v>0</v>
      </c>
    </row>
    <row r="85" spans="1:8">
      <c r="A85" s="1" t="s">
        <v>91</v>
      </c>
      <c r="B85" s="2">
        <v>0.1598188728094101</v>
      </c>
      <c r="C85" s="1">
        <v>96</v>
      </c>
      <c r="D85" s="1">
        <v>0</v>
      </c>
      <c r="E85" s="1">
        <v>96</v>
      </c>
      <c r="F85" s="1">
        <v>0</v>
      </c>
      <c r="G85" s="1">
        <v>0</v>
      </c>
      <c r="H85" s="1">
        <v>0</v>
      </c>
    </row>
    <row r="86" spans="1:8">
      <c r="A86" s="1" t="s">
        <v>92</v>
      </c>
      <c r="B86" s="2">
        <v>0.1398415118455887</v>
      </c>
      <c r="C86" s="1">
        <v>84</v>
      </c>
      <c r="D86" s="1">
        <v>0</v>
      </c>
      <c r="E86" s="1">
        <v>84</v>
      </c>
      <c r="F86" s="1">
        <v>0</v>
      </c>
      <c r="G86" s="1">
        <v>0</v>
      </c>
      <c r="H86" s="1">
        <v>0</v>
      </c>
    </row>
    <row r="87" spans="1:8">
      <c r="A87" s="1" t="s">
        <v>93</v>
      </c>
      <c r="B87" s="2">
        <v>0.1398415118455887</v>
      </c>
      <c r="C87" s="1">
        <v>84</v>
      </c>
      <c r="D87" s="1">
        <v>0</v>
      </c>
      <c r="E87" s="1">
        <v>84</v>
      </c>
      <c r="F87" s="1">
        <v>0</v>
      </c>
      <c r="G87" s="1">
        <v>0</v>
      </c>
      <c r="H87" s="1">
        <v>0</v>
      </c>
    </row>
    <row r="88" spans="1:8">
      <c r="A88" s="1" t="s">
        <v>32</v>
      </c>
      <c r="B88" s="2">
        <v>0.1398415118455887</v>
      </c>
      <c r="C88" s="1">
        <v>84</v>
      </c>
      <c r="D88" s="1">
        <v>4</v>
      </c>
      <c r="E88" s="1">
        <v>48</v>
      </c>
      <c r="F88" s="1">
        <v>32</v>
      </c>
      <c r="G88" s="1">
        <v>4</v>
      </c>
      <c r="H88" s="1">
        <v>0</v>
      </c>
    </row>
    <row r="89" spans="1:8">
      <c r="A89" s="1" t="s">
        <v>94</v>
      </c>
      <c r="B89" s="2">
        <v>0.1365119516849518</v>
      </c>
      <c r="C89" s="1">
        <v>82</v>
      </c>
      <c r="D89" s="1">
        <v>0</v>
      </c>
      <c r="E89" s="1">
        <v>82</v>
      </c>
      <c r="F89" s="1">
        <v>0</v>
      </c>
      <c r="G89" s="1">
        <v>0</v>
      </c>
      <c r="H89" s="1">
        <v>0</v>
      </c>
    </row>
    <row r="90" spans="1:8">
      <c r="A90" s="1" t="s">
        <v>95</v>
      </c>
      <c r="B90" s="2">
        <v>0.1265232712030411</v>
      </c>
      <c r="C90" s="1">
        <v>76</v>
      </c>
      <c r="D90" s="1">
        <v>0</v>
      </c>
      <c r="E90" s="1">
        <v>76</v>
      </c>
      <c r="F90" s="1">
        <v>0</v>
      </c>
      <c r="G90" s="1">
        <v>0</v>
      </c>
      <c r="H90" s="1">
        <v>0</v>
      </c>
    </row>
    <row r="91" spans="1:8">
      <c r="A91" s="1" t="s">
        <v>19</v>
      </c>
      <c r="B91" s="2">
        <v>0.1265232712030411</v>
      </c>
      <c r="C91" s="1">
        <v>76</v>
      </c>
      <c r="D91" s="1">
        <v>40</v>
      </c>
      <c r="E91" s="1">
        <v>76</v>
      </c>
      <c r="F91" s="1">
        <v>0</v>
      </c>
      <c r="G91" s="1">
        <v>0</v>
      </c>
      <c r="H91" s="1">
        <v>40</v>
      </c>
    </row>
    <row r="92" spans="1:8">
      <c r="A92" s="1" t="s">
        <v>23</v>
      </c>
      <c r="B92" s="2">
        <v>0.1165345907211304</v>
      </c>
      <c r="C92" s="1">
        <v>70</v>
      </c>
      <c r="D92" s="1">
        <v>12</v>
      </c>
      <c r="E92" s="1">
        <v>58</v>
      </c>
      <c r="F92" s="1">
        <v>0</v>
      </c>
      <c r="G92" s="1">
        <v>12</v>
      </c>
      <c r="H92" s="1">
        <v>0</v>
      </c>
    </row>
    <row r="93" spans="1:8">
      <c r="A93" s="1" t="s">
        <v>96</v>
      </c>
      <c r="B93" s="2">
        <v>0.09988679736852646</v>
      </c>
      <c r="C93" s="1">
        <v>60</v>
      </c>
      <c r="D93" s="1">
        <v>0</v>
      </c>
      <c r="E93" s="1">
        <v>60</v>
      </c>
      <c r="F93" s="1">
        <v>0</v>
      </c>
      <c r="G93" s="1">
        <v>0</v>
      </c>
      <c r="H93" s="1">
        <v>0</v>
      </c>
    </row>
    <row r="94" spans="1:8">
      <c r="A94" s="1" t="s">
        <v>97</v>
      </c>
      <c r="B94" s="2">
        <v>0.09988679736852646</v>
      </c>
      <c r="C94" s="1">
        <v>60</v>
      </c>
      <c r="D94" s="1">
        <v>0</v>
      </c>
      <c r="E94" s="1">
        <v>60</v>
      </c>
      <c r="F94" s="1">
        <v>0</v>
      </c>
      <c r="G94" s="1">
        <v>0</v>
      </c>
      <c r="H94" s="1">
        <v>0</v>
      </c>
    </row>
    <row r="95" spans="1:8">
      <c r="A95" s="1" t="s">
        <v>98</v>
      </c>
      <c r="B95" s="2">
        <v>0.08989811688661575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99</v>
      </c>
      <c r="B96" s="2">
        <v>0.08656855672597885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100</v>
      </c>
      <c r="B97" s="2">
        <v>0.07990943640470505</v>
      </c>
      <c r="C97" s="1">
        <v>48</v>
      </c>
      <c r="D97" s="1">
        <v>0</v>
      </c>
      <c r="E97" s="1">
        <v>48</v>
      </c>
      <c r="F97" s="1">
        <v>0</v>
      </c>
      <c r="G97" s="1">
        <v>0</v>
      </c>
      <c r="H97" s="1">
        <v>0</v>
      </c>
    </row>
    <row r="98" spans="1:8">
      <c r="A98" s="1" t="s">
        <v>101</v>
      </c>
      <c r="B98" s="2">
        <v>0.07990943640470505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102</v>
      </c>
      <c r="B99" s="2">
        <v>0.07990943640470505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103</v>
      </c>
      <c r="B100" s="2">
        <v>0.07325031608343124</v>
      </c>
      <c r="C100" s="1">
        <v>44</v>
      </c>
      <c r="D100" s="1">
        <v>0</v>
      </c>
      <c r="E100" s="1">
        <v>44</v>
      </c>
      <c r="F100" s="1">
        <v>0</v>
      </c>
      <c r="G100" s="1">
        <v>0</v>
      </c>
      <c r="H100" s="1">
        <v>0</v>
      </c>
    </row>
    <row r="101" spans="1:8">
      <c r="A101" s="1" t="s">
        <v>30</v>
      </c>
      <c r="B101" s="2">
        <v>0.07325031608343124</v>
      </c>
      <c r="C101" s="1">
        <v>44</v>
      </c>
      <c r="D101" s="1">
        <v>4</v>
      </c>
      <c r="E101" s="1">
        <v>16</v>
      </c>
      <c r="F101" s="1">
        <v>24</v>
      </c>
      <c r="G101" s="1">
        <v>4</v>
      </c>
      <c r="H101" s="1">
        <v>0</v>
      </c>
    </row>
    <row r="102" spans="1:8">
      <c r="A102" s="1" t="s">
        <v>104</v>
      </c>
      <c r="B102" s="2">
        <v>0.06992075592279434</v>
      </c>
      <c r="C102" s="1">
        <v>42</v>
      </c>
      <c r="D102" s="1">
        <v>0</v>
      </c>
      <c r="E102" s="1">
        <v>42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0.06326163560152054</v>
      </c>
      <c r="C103" s="1">
        <v>38</v>
      </c>
      <c r="D103" s="1">
        <v>0</v>
      </c>
      <c r="E103" s="1">
        <v>38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0.06326163560152054</v>
      </c>
      <c r="C104" s="1">
        <v>38</v>
      </c>
      <c r="D104" s="1">
        <v>0</v>
      </c>
      <c r="E104" s="1">
        <v>38</v>
      </c>
      <c r="F104" s="1">
        <v>0</v>
      </c>
      <c r="G104" s="1">
        <v>0</v>
      </c>
      <c r="H104" s="1">
        <v>0</v>
      </c>
    </row>
    <row r="105" spans="1:8">
      <c r="A105" s="1" t="s">
        <v>107</v>
      </c>
      <c r="B105" s="2">
        <v>0.05993207544088364</v>
      </c>
      <c r="C105" s="1">
        <v>36</v>
      </c>
      <c r="D105" s="1">
        <v>0</v>
      </c>
      <c r="E105" s="1">
        <v>36</v>
      </c>
      <c r="F105" s="1">
        <v>0</v>
      </c>
      <c r="G105" s="1">
        <v>0</v>
      </c>
      <c r="H105" s="1">
        <v>0</v>
      </c>
    </row>
    <row r="106" spans="1:8">
      <c r="A106" s="1" t="s">
        <v>108</v>
      </c>
      <c r="B106" s="2">
        <v>0.05993207544088364</v>
      </c>
      <c r="C106" s="1">
        <v>36</v>
      </c>
      <c r="D106" s="1">
        <v>0</v>
      </c>
      <c r="E106" s="1">
        <v>36</v>
      </c>
      <c r="F106" s="1">
        <v>0</v>
      </c>
      <c r="G106" s="1">
        <v>0</v>
      </c>
      <c r="H106" s="1">
        <v>0</v>
      </c>
    </row>
    <row r="107" spans="1:8">
      <c r="A107" s="1" t="s">
        <v>109</v>
      </c>
      <c r="B107" s="2">
        <v>0.05993207544088364</v>
      </c>
      <c r="C107" s="1">
        <v>36</v>
      </c>
      <c r="D107" s="1">
        <v>0</v>
      </c>
      <c r="E107" s="1">
        <v>36</v>
      </c>
      <c r="F107" s="1">
        <v>0</v>
      </c>
      <c r="G107" s="1">
        <v>0</v>
      </c>
      <c r="H107" s="1">
        <v>0</v>
      </c>
    </row>
    <row r="108" spans="1:8">
      <c r="A108" s="1" t="s">
        <v>110</v>
      </c>
      <c r="B108" s="2">
        <v>0.05993207544088364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111</v>
      </c>
      <c r="B109" s="2">
        <v>0.05327295884490013</v>
      </c>
      <c r="C109" s="1">
        <v>32</v>
      </c>
      <c r="D109" s="1">
        <v>0</v>
      </c>
      <c r="E109" s="1">
        <v>32</v>
      </c>
      <c r="F109" s="1">
        <v>0</v>
      </c>
      <c r="G109" s="1">
        <v>0</v>
      </c>
      <c r="H109" s="1">
        <v>0</v>
      </c>
    </row>
    <row r="110" spans="1:8">
      <c r="A110" s="1" t="s">
        <v>112</v>
      </c>
      <c r="B110" s="2">
        <v>0.05327295884490013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113</v>
      </c>
      <c r="B111" s="2">
        <v>0.05327295884490013</v>
      </c>
      <c r="C111" s="1">
        <v>32</v>
      </c>
      <c r="D111" s="1">
        <v>0</v>
      </c>
      <c r="E111" s="1">
        <v>32</v>
      </c>
      <c r="F111" s="1">
        <v>0</v>
      </c>
      <c r="G111" s="1">
        <v>0</v>
      </c>
      <c r="H111" s="1">
        <v>0</v>
      </c>
    </row>
    <row r="112" spans="1:8">
      <c r="A112" s="1" t="s">
        <v>114</v>
      </c>
      <c r="B112" s="2">
        <v>0.04994339868426323</v>
      </c>
      <c r="C112" s="1">
        <v>30</v>
      </c>
      <c r="D112" s="1">
        <v>0</v>
      </c>
      <c r="E112" s="1">
        <v>30</v>
      </c>
      <c r="F112" s="1">
        <v>0</v>
      </c>
      <c r="G112" s="1">
        <v>0</v>
      </c>
      <c r="H112" s="1">
        <v>0</v>
      </c>
    </row>
    <row r="113" spans="1:8">
      <c r="A113" s="1" t="s">
        <v>115</v>
      </c>
      <c r="B113" s="2">
        <v>0.04994339868426323</v>
      </c>
      <c r="C113" s="1">
        <v>30</v>
      </c>
      <c r="D113" s="1">
        <v>0</v>
      </c>
      <c r="E113" s="1">
        <v>30</v>
      </c>
      <c r="F113" s="1">
        <v>0</v>
      </c>
      <c r="G113" s="1">
        <v>0</v>
      </c>
      <c r="H113" s="1">
        <v>0</v>
      </c>
    </row>
    <row r="114" spans="1:8">
      <c r="A114" s="1" t="s">
        <v>116</v>
      </c>
      <c r="B114" s="2">
        <v>0.04661383852362633</v>
      </c>
      <c r="C114" s="1">
        <v>28</v>
      </c>
      <c r="D114" s="1">
        <v>0</v>
      </c>
      <c r="E114" s="1">
        <v>28</v>
      </c>
      <c r="F114" s="1">
        <v>0</v>
      </c>
      <c r="G114" s="1">
        <v>0</v>
      </c>
      <c r="H114" s="1">
        <v>0</v>
      </c>
    </row>
    <row r="115" spans="1:8">
      <c r="A115" s="1" t="s">
        <v>117</v>
      </c>
      <c r="B115" s="2">
        <v>0.04661383852362633</v>
      </c>
      <c r="C115" s="1">
        <v>28</v>
      </c>
      <c r="D115" s="1">
        <v>0</v>
      </c>
      <c r="E115" s="1">
        <v>28</v>
      </c>
      <c r="F115" s="1">
        <v>0</v>
      </c>
      <c r="G115" s="1">
        <v>0</v>
      </c>
      <c r="H115" s="1">
        <v>0</v>
      </c>
    </row>
    <row r="116" spans="1:8">
      <c r="A116" s="1" t="s">
        <v>118</v>
      </c>
      <c r="B116" s="2">
        <v>0.03995471820235252</v>
      </c>
      <c r="C116" s="1">
        <v>24</v>
      </c>
      <c r="D116" s="1">
        <v>0</v>
      </c>
      <c r="E116" s="1">
        <v>24</v>
      </c>
      <c r="F116" s="1">
        <v>0</v>
      </c>
      <c r="G116" s="1">
        <v>0</v>
      </c>
      <c r="H116" s="1">
        <v>0</v>
      </c>
    </row>
    <row r="117" spans="1:8">
      <c r="A117" s="1" t="s">
        <v>29</v>
      </c>
      <c r="B117" s="2">
        <v>0.02663647942245007</v>
      </c>
      <c r="C117" s="1">
        <v>16</v>
      </c>
      <c r="D117" s="1">
        <v>4</v>
      </c>
      <c r="E117" s="1">
        <v>12</v>
      </c>
      <c r="F117" s="1">
        <v>0</v>
      </c>
      <c r="G117" s="1">
        <v>4</v>
      </c>
      <c r="H117" s="1">
        <v>0</v>
      </c>
    </row>
    <row r="118" spans="1:8">
      <c r="A118" s="1" t="s">
        <v>25</v>
      </c>
      <c r="B118" s="2">
        <v>0.01331823971122503</v>
      </c>
      <c r="C118" s="1">
        <v>8</v>
      </c>
      <c r="D118" s="1">
        <v>8</v>
      </c>
      <c r="E118" s="1">
        <v>0</v>
      </c>
      <c r="F118" s="1">
        <v>0</v>
      </c>
      <c r="G118" s="1">
        <v>8</v>
      </c>
      <c r="H118" s="1">
        <v>0</v>
      </c>
    </row>
    <row r="119" spans="1:8">
      <c r="A119" s="1" t="s">
        <v>119</v>
      </c>
      <c r="B119" s="2">
        <v>0.01331823971122503</v>
      </c>
      <c r="C119" s="1">
        <v>8</v>
      </c>
      <c r="D119" s="1">
        <v>0</v>
      </c>
      <c r="E119" s="1">
        <v>8</v>
      </c>
      <c r="F119" s="1">
        <v>0</v>
      </c>
      <c r="G119" s="1">
        <v>0</v>
      </c>
      <c r="H119" s="1">
        <v>0</v>
      </c>
    </row>
    <row r="120" spans="1:8">
      <c r="A120" s="1" t="s">
        <v>120</v>
      </c>
      <c r="B120" s="2">
        <v>0.01331823971122503</v>
      </c>
      <c r="C120" s="1">
        <v>8</v>
      </c>
      <c r="D120" s="1">
        <v>0</v>
      </c>
      <c r="E120" s="1">
        <v>8</v>
      </c>
      <c r="F120" s="1">
        <v>0</v>
      </c>
      <c r="G120" s="1">
        <v>0</v>
      </c>
      <c r="H120" s="1">
        <v>0</v>
      </c>
    </row>
    <row r="121" spans="1:8">
      <c r="A121" s="1" t="s">
        <v>28</v>
      </c>
      <c r="B121" s="2">
        <v>0.006659119855612516</v>
      </c>
      <c r="C121" s="1">
        <v>4</v>
      </c>
      <c r="D121" s="1">
        <v>4</v>
      </c>
      <c r="E121" s="1">
        <v>0</v>
      </c>
      <c r="F121" s="1">
        <v>0</v>
      </c>
      <c r="G121" s="1">
        <v>4</v>
      </c>
      <c r="H121" s="1">
        <v>0</v>
      </c>
    </row>
    <row r="122" spans="1:8">
      <c r="A122" s="1" t="s">
        <v>121</v>
      </c>
      <c r="B122" s="2">
        <v>0.006659119855612516</v>
      </c>
      <c r="C122" s="1">
        <v>4</v>
      </c>
      <c r="D122" s="1">
        <v>0</v>
      </c>
      <c r="E122" s="1">
        <v>4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0.006659119855612516</v>
      </c>
      <c r="C123" s="1">
        <v>4</v>
      </c>
      <c r="D123" s="1">
        <v>0</v>
      </c>
      <c r="E123" s="1">
        <v>4</v>
      </c>
      <c r="F123" s="1">
        <v>0</v>
      </c>
      <c r="G123" s="1">
        <v>0</v>
      </c>
      <c r="H123" s="1">
        <v>0</v>
      </c>
    </row>
    <row r="124" spans="1:8">
      <c r="A124" t="s">
        <v>124</v>
      </c>
      <c r="B124">
        <f>SUBTOTAL(109,[flash_percent])</f>
        <v>0</v>
      </c>
      <c r="C124">
        <f>SUBTOTAL(109,[flash])</f>
        <v>0</v>
      </c>
      <c r="D124">
        <f>SUBTOTAL(109,[ram])</f>
        <v>0</v>
      </c>
      <c r="E124">
        <f>SUBTOTAL(109,[Code])</f>
        <v>0</v>
      </c>
      <c r="F124">
        <f>SUBTOTAL(109,[RO_data])</f>
        <v>0</v>
      </c>
      <c r="G124">
        <f>SUBTOTAL(109,[RW_data])</f>
        <v>0</v>
      </c>
      <c r="H12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2026-06-22T03:10:56Z</dcterms:created>
  <dcterms:modified xsi:type="dcterms:W3CDTF">2026-06-22T03:10:56Z</dcterms:modified>
</cp:coreProperties>
</file>