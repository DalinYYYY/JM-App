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<sst xmlns="http://schemas.openxmlformats.org/spreadsheetml/2006/main" count="114" uniqueCount="85">
  <si>
    <t>JointMotorApp</t>
  </si>
  <si>
    <t>heap_4.o</t>
  </si>
  <si>
    <t>startup_stm32g474xx.o</t>
  </si>
  <si>
    <t>runtime_param.o</t>
  </si>
  <si>
    <t>adc.o</t>
  </si>
  <si>
    <t>tasks.o</t>
  </si>
  <si>
    <t>drv_rtos.o</t>
  </si>
  <si>
    <t>spi.o</t>
  </si>
  <si>
    <t>usart.o</t>
  </si>
  <si>
    <t>fdcan.o</t>
  </si>
  <si>
    <t>c_w.l</t>
  </si>
  <si>
    <t>libspace.o</t>
  </si>
  <si>
    <t>dev_dwt_counter.o</t>
  </si>
  <si>
    <t>i2c.o</t>
  </si>
  <si>
    <t>tim.o</t>
  </si>
  <si>
    <t>stm32g4xx_hal_timebase_tim.o</t>
  </si>
  <si>
    <t>cordic.o</t>
  </si>
  <si>
    <t>thread_management.o</t>
  </si>
  <si>
    <t>stm32g4xx_hal.o</t>
  </si>
  <si>
    <t>port.o</t>
  </si>
  <si>
    <t>system_stm32g4xx.o</t>
  </si>
  <si>
    <t>app_freertos.o</t>
  </si>
  <si>
    <t>stm32g4xx_hal_adc.o</t>
  </si>
  <si>
    <t>stm32g4xx_hal_tim.o</t>
  </si>
  <si>
    <t>stm32g4xx_hal_adc_ex.o</t>
  </si>
  <si>
    <t>stm32g4xx_hal_rcc.o</t>
  </si>
  <si>
    <t>stm32g4xx_hal_uart.o</t>
  </si>
  <si>
    <t>stm32g4xx_hal_fdcan.o</t>
  </si>
  <si>
    <t>stm32g4xx_hal_rcc_ex.o</t>
  </si>
  <si>
    <t>stm32g4xx_hal_gpio.o</t>
  </si>
  <si>
    <t>stm32g4xx_hal_tim_ex.o</t>
  </si>
  <si>
    <t>stm32g4xx_hal_uart_ex.o</t>
  </si>
  <si>
    <t>gpio.o</t>
  </si>
  <si>
    <t>lludivv7m.o</t>
  </si>
  <si>
    <t>stm32g4xx_hal_spi.o</t>
  </si>
  <si>
    <t>stm32g4xx_hal_pwr_ex.o</t>
  </si>
  <si>
    <t>main.o</t>
  </si>
  <si>
    <t>stm32g4xx_hal_i2c.o</t>
  </si>
  <si>
    <t>stm32g4xx_hal_i2c_ex.o</t>
  </si>
  <si>
    <t>stm32g4xx_hal_cortex.o</t>
  </si>
  <si>
    <t>list.o</t>
  </si>
  <si>
    <t>rt_memcpy_w.o</t>
  </si>
  <si>
    <t>stm32g4xx_it.o</t>
  </si>
  <si>
    <t>cmsis_os.o</t>
  </si>
  <si>
    <t>rt_memclr_w.o</t>
  </si>
  <si>
    <t>sys_stackheap_outer.o</t>
  </si>
  <si>
    <t>drv_dwt_timer.o</t>
  </si>
  <si>
    <t>stm32g4xx_hal_msp.o</t>
  </si>
  <si>
    <t>control_irq.o</t>
  </si>
  <si>
    <t>thread_commun.o</t>
  </si>
  <si>
    <t>__scatter.o</t>
  </si>
  <si>
    <t>stm32g4xx_hal_cordic.o</t>
  </si>
  <si>
    <t>thread_idle.o</t>
  </si>
  <si>
    <t>thread_control.o</t>
  </si>
  <si>
    <t>__scatter_zi.o</t>
  </si>
  <si>
    <t>thread_period.o</t>
  </si>
  <si>
    <t>thread_display.o</t>
  </si>
  <si>
    <t>__scatter_copy.o</t>
  </si>
  <si>
    <t>exit.o</t>
  </si>
  <si>
    <t>user_interface.o</t>
  </si>
  <si>
    <t>sys_exit.o</t>
  </si>
  <si>
    <t>__rtentry2.o</t>
  </si>
  <si>
    <t>fz_wm.l</t>
  </si>
  <si>
    <t>fpinit.o</t>
  </si>
  <si>
    <t>rtexit2.o</t>
  </si>
  <si>
    <t>__main.o</t>
  </si>
  <si>
    <t>libinit2.o</t>
  </si>
  <si>
    <t>heapauxi.o</t>
  </si>
  <si>
    <t>__rtentry4.o</t>
  </si>
  <si>
    <t>use_no_semi.o</t>
  </si>
  <si>
    <t>rtexit.o</t>
  </si>
  <si>
    <t>libshutdown2.o</t>
  </si>
  <si>
    <t>libshutdown.o</t>
  </si>
  <si>
    <t>libinit.o</t>
  </si>
  <si>
    <t>vofa.o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</si>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</sst>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ram_percent!$A$3:$A$76</c:f>
              <c:strCache>
                <c:ptCount val="74"/>
                <c:pt idx="0">
                  <c:v>heap_4.o</c:v>
                </c:pt>
                <c:pt idx="1">
                  <c:v>startup_stm32g474xx.o</c:v>
                </c:pt>
                <c:pt idx="2">
                  <c:v>runtime_param.o</c:v>
                </c:pt>
                <c:pt idx="3">
                  <c:v>adc.o</c:v>
                </c:pt>
                <c:pt idx="4">
                  <c:v>tasks.o</c:v>
                </c:pt>
                <c:pt idx="5">
                  <c:v>drv_rtos.o</c:v>
                </c:pt>
                <c:pt idx="6">
                  <c:v>spi.o</c:v>
                </c:pt>
                <c:pt idx="7">
                  <c:v>usart.o</c:v>
                </c:pt>
                <c:pt idx="8">
                  <c:v>fdcan.o</c:v>
                </c:pt>
                <c:pt idx="9">
                  <c:v>c_w.l</c:v>
                </c:pt>
                <c:pt idx="10">
                  <c:v>libspace.o</c:v>
                </c:pt>
                <c:pt idx="11">
                  <c:v>dev_dwt_counter.o</c:v>
                </c:pt>
                <c:pt idx="12">
                  <c:v>i2c.o</c:v>
                </c:pt>
                <c:pt idx="13">
                  <c:v>tim.o</c:v>
                </c:pt>
                <c:pt idx="14">
                  <c:v>stm32g4xx_hal_timebase_tim.o</c:v>
                </c:pt>
                <c:pt idx="15">
                  <c:v>cordic.o</c:v>
                </c:pt>
                <c:pt idx="16">
                  <c:v>thread_management.o</c:v>
                </c:pt>
                <c:pt idx="17">
                  <c:v>stm32g4xx_hal.o</c:v>
                </c:pt>
                <c:pt idx="18">
                  <c:v>port.o</c:v>
                </c:pt>
                <c:pt idx="19">
                  <c:v>system_stm32g4xx.o</c:v>
                </c:pt>
                <c:pt idx="20">
                  <c:v>app_freertos.o</c:v>
                </c:pt>
                <c:pt idx="73">
                  <c:v>Totals</c:v>
                </c:pt>
              </c:strCache>
            </c:strRef>
          </c:cat>
          <c:val>
            <c:numRef>
              <c:f>ram_percent!$B$3:$B$76</c:f>
              <c:numCache>
                <c:formatCode>General</c:formatCode>
                <c:ptCount val="74"/>
                <c:pt idx="0">
                  <c:v>44.31753158569336</c:v>
                </c:pt>
                <c:pt idx="1">
                  <c:v>21.93032646179199</c:v>
                </c:pt>
                <c:pt idx="2">
                  <c:v>6.510565280914307</c:v>
                </c:pt>
                <c:pt idx="3">
                  <c:v>4.683038234710693</c:v>
                </c:pt>
                <c:pt idx="4">
                  <c:v>4.283266544342041</c:v>
                </c:pt>
                <c:pt idx="5">
                  <c:v>3.198172569274902</c:v>
                </c:pt>
                <c:pt idx="6">
                  <c:v>2.85551118850708</c:v>
                </c:pt>
                <c:pt idx="7">
                  <c:v>2.113078355789185</c:v>
                </c:pt>
                <c:pt idx="8">
                  <c:v>1.42775559425354</c:v>
                </c:pt>
                <c:pt idx="9">
                  <c:v>1.370645403862</c:v>
                </c:pt>
                <c:pt idx="10">
                  <c:v>1.370645403862</c:v>
                </c:pt>
                <c:pt idx="11">
                  <c:v>1.256424903869629</c:v>
                </c:pt>
                <c:pt idx="12">
                  <c:v>1.199314713478088</c:v>
                </c:pt>
                <c:pt idx="13">
                  <c:v>1.085094213485718</c:v>
                </c:pt>
                <c:pt idx="14">
                  <c:v>1.085094213485718</c:v>
                </c:pt>
                <c:pt idx="15">
                  <c:v>0.5711022019386292</c:v>
                </c:pt>
                <c:pt idx="16">
                  <c:v>0.2855511009693146</c:v>
                </c:pt>
                <c:pt idx="17">
                  <c:v>0.1713306754827499</c:v>
                </c:pt>
                <c:pt idx="18">
                  <c:v>0.1713306754827499</c:v>
                </c:pt>
                <c:pt idx="19">
                  <c:v>0.05711022391915321</c:v>
                </c:pt>
                <c:pt idx="20">
                  <c:v>0.05711022391915321</c:v>
                </c:pt>
                <c:pt idx="7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flash_percent!$A$3:$A$76</c:f>
              <c:strCache>
                <c:ptCount val="74"/>
                <c:pt idx="0">
                  <c:v>stm32g4xx_hal_adc.o</c:v>
                </c:pt>
                <c:pt idx="1">
                  <c:v>stm32g4xx_hal_tim.o</c:v>
                </c:pt>
                <c:pt idx="2">
                  <c:v>stm32g4xx_hal_adc_ex.o</c:v>
                </c:pt>
                <c:pt idx="3">
                  <c:v>stm32g4xx_hal_rcc.o</c:v>
                </c:pt>
                <c:pt idx="4">
                  <c:v>tasks.o</c:v>
                </c:pt>
                <c:pt idx="5">
                  <c:v>stm32g4xx_hal_uart.o</c:v>
                </c:pt>
                <c:pt idx="6">
                  <c:v>adc.o</c:v>
                </c:pt>
                <c:pt idx="7">
                  <c:v>stm32g4xx_hal_fdcan.o</c:v>
                </c:pt>
                <c:pt idx="8">
                  <c:v>stm32g4xx_hal_rcc_ex.o</c:v>
                </c:pt>
                <c:pt idx="9">
                  <c:v>port.o</c:v>
                </c:pt>
                <c:pt idx="10">
                  <c:v>c_w.l</c:v>
                </c:pt>
                <c:pt idx="11">
                  <c:v>stm32g4xx_hal_gpio.o</c:v>
                </c:pt>
                <c:pt idx="12">
                  <c:v>startup_stm32g474xx.o</c:v>
                </c:pt>
                <c:pt idx="13">
                  <c:v>heap_4.o</c:v>
                </c:pt>
                <c:pt idx="14">
                  <c:v>tim.o</c:v>
                </c:pt>
                <c:pt idx="15">
                  <c:v>stm32g4xx_hal_tim_ex.o</c:v>
                </c:pt>
                <c:pt idx="16">
                  <c:v>spi.o</c:v>
                </c:pt>
                <c:pt idx="17">
                  <c:v>stm32g4xx_hal_uart_ex.o</c:v>
                </c:pt>
                <c:pt idx="18">
                  <c:v>gpio.o</c:v>
                </c:pt>
                <c:pt idx="19">
                  <c:v>i2c.o</c:v>
                </c:pt>
                <c:pt idx="20">
                  <c:v>lludivv7m.o</c:v>
                </c:pt>
                <c:pt idx="21">
                  <c:v>stm32g4xx_hal_spi.o</c:v>
                </c:pt>
                <c:pt idx="22">
                  <c:v>usart.o</c:v>
                </c:pt>
                <c:pt idx="23">
                  <c:v>fdcan.o</c:v>
                </c:pt>
                <c:pt idx="24">
                  <c:v>stm32g4xx_hal_pwr_ex.o</c:v>
                </c:pt>
                <c:pt idx="25">
                  <c:v>main.o</c:v>
                </c:pt>
                <c:pt idx="26">
                  <c:v>thread_management.o</c:v>
                </c:pt>
                <c:pt idx="27">
                  <c:v>stm32g4xx_hal_i2c.o</c:v>
                </c:pt>
                <c:pt idx="28">
                  <c:v>stm32g4xx_hal_i2c_ex.o</c:v>
                </c:pt>
                <c:pt idx="29">
                  <c:v>stm32g4xx_hal_cortex.o</c:v>
                </c:pt>
                <c:pt idx="30">
                  <c:v>list.o</c:v>
                </c:pt>
                <c:pt idx="31">
                  <c:v>stm32g4xx_hal_timebase_tim.o</c:v>
                </c:pt>
                <c:pt idx="32">
                  <c:v>drv_rtos.o</c:v>
                </c:pt>
                <c:pt idx="33">
                  <c:v>rt_memcpy_w.o</c:v>
                </c:pt>
                <c:pt idx="34">
                  <c:v>dev_dwt_counter.o</c:v>
                </c:pt>
                <c:pt idx="35">
                  <c:v>stm32g4xx_it.o</c:v>
                </c:pt>
                <c:pt idx="36">
                  <c:v>app_freertos.o</c:v>
                </c:pt>
                <c:pt idx="37">
                  <c:v>cmsis_os.o</c:v>
                </c:pt>
                <c:pt idx="38">
                  <c:v>rt_memclr_w.o</c:v>
                </c:pt>
                <c:pt idx="39">
                  <c:v>cordic.o</c:v>
                </c:pt>
                <c:pt idx="40">
                  <c:v>sys_stackheap_outer.o</c:v>
                </c:pt>
                <c:pt idx="41">
                  <c:v>stm32g4xx_hal.o</c:v>
                </c:pt>
                <c:pt idx="42">
                  <c:v>drv_dwt_timer.o</c:v>
                </c:pt>
                <c:pt idx="43">
                  <c:v>stm32g4xx_hal_msp.o</c:v>
                </c:pt>
                <c:pt idx="44">
                  <c:v>control_irq.o</c:v>
                </c:pt>
                <c:pt idx="45">
                  <c:v>thread_commun.o</c:v>
                </c:pt>
                <c:pt idx="46">
                  <c:v>__scatter.o</c:v>
                </c:pt>
                <c:pt idx="47">
                  <c:v>stm32g4xx_hal_cordic.o</c:v>
                </c:pt>
                <c:pt idx="48">
                  <c:v>system_stm32g4xx.o</c:v>
                </c:pt>
                <c:pt idx="49">
                  <c:v>thread_idle.o</c:v>
                </c:pt>
                <c:pt idx="50">
                  <c:v>thread_control.o</c:v>
                </c:pt>
                <c:pt idx="51">
                  <c:v>__scatter_zi.o</c:v>
                </c:pt>
                <c:pt idx="52">
                  <c:v>thread_period.o</c:v>
                </c:pt>
                <c:pt idx="53">
                  <c:v>thread_display.o</c:v>
                </c:pt>
                <c:pt idx="54">
                  <c:v>__scatter_copy.o</c:v>
                </c:pt>
                <c:pt idx="55">
                  <c:v>exit.o</c:v>
                </c:pt>
                <c:pt idx="56">
                  <c:v>user_interface.o</c:v>
                </c:pt>
                <c:pt idx="57">
                  <c:v>sys_exit.o</c:v>
                </c:pt>
                <c:pt idx="58">
                  <c:v>__rtentry2.o</c:v>
                </c:pt>
                <c:pt idx="59">
                  <c:v>fz_wm.l</c:v>
                </c:pt>
                <c:pt idx="60">
                  <c:v>fpinit.o</c:v>
                </c:pt>
                <c:pt idx="61">
                  <c:v>rtexit2.o</c:v>
                </c:pt>
                <c:pt idx="62">
                  <c:v>libspace.o</c:v>
                </c:pt>
                <c:pt idx="63">
                  <c:v>__main.o</c:v>
                </c:pt>
                <c:pt idx="64">
                  <c:v>libinit2.o</c:v>
                </c:pt>
                <c:pt idx="65">
                  <c:v>heapauxi.o</c:v>
                </c:pt>
                <c:pt idx="66">
                  <c:v>__rtentry4.o</c:v>
                </c:pt>
                <c:pt idx="67">
                  <c:v>use_no_semi.o</c:v>
                </c:pt>
                <c:pt idx="68">
                  <c:v>rtexit.o</c:v>
                </c:pt>
                <c:pt idx="69">
                  <c:v>libshutdown2.o</c:v>
                </c:pt>
                <c:pt idx="70">
                  <c:v>libshutdown.o</c:v>
                </c:pt>
                <c:pt idx="71">
                  <c:v>libinit.o</c:v>
                </c:pt>
                <c:pt idx="72">
                  <c:v>vofa.o</c:v>
                </c:pt>
                <c:pt idx="73">
                  <c:v>Totals</c:v>
                </c:pt>
              </c:strCache>
            </c:strRef>
          </c:cat>
          <c:val>
            <c:numRef>
              <c:f>flash_percent!$B$3:$B$76</c:f>
              <c:numCache>
                <c:formatCode>General</c:formatCode>
                <c:ptCount val="74"/>
                <c:pt idx="0">
                  <c:v>10.9424638748169</c:v>
                </c:pt>
                <c:pt idx="1">
                  <c:v>9.724673271179199</c:v>
                </c:pt>
                <c:pt idx="2">
                  <c:v>7.968584537506104</c:v>
                </c:pt>
                <c:pt idx="3">
                  <c:v>7.712672233581543</c:v>
                </c:pt>
                <c:pt idx="4">
                  <c:v>6.415460586547852</c:v>
                </c:pt>
                <c:pt idx="5">
                  <c:v>6.168372631072998</c:v>
                </c:pt>
                <c:pt idx="6">
                  <c:v>4.553476810455322</c:v>
                </c:pt>
                <c:pt idx="7">
                  <c:v>4.032827377319336</c:v>
                </c:pt>
                <c:pt idx="8">
                  <c:v>3.388633966445923</c:v>
                </c:pt>
                <c:pt idx="9">
                  <c:v>3.150370597839356</c:v>
                </c:pt>
                <c:pt idx="10">
                  <c:v>3.053300380706787</c:v>
                </c:pt>
                <c:pt idx="11">
                  <c:v>2.532650947570801</c:v>
                </c:pt>
                <c:pt idx="12">
                  <c:v>2.364984035491943</c:v>
                </c:pt>
                <c:pt idx="13">
                  <c:v>2.223791122436523</c:v>
                </c:pt>
                <c:pt idx="14">
                  <c:v>1.994352221488953</c:v>
                </c:pt>
                <c:pt idx="15">
                  <c:v>1.614895820617676</c:v>
                </c:pt>
                <c:pt idx="16">
                  <c:v>1.447229027748108</c:v>
                </c:pt>
                <c:pt idx="17">
                  <c:v>1.314860582351685</c:v>
                </c:pt>
                <c:pt idx="18">
                  <c:v>1.200141191482544</c:v>
                </c:pt>
                <c:pt idx="19">
                  <c:v>1.111895561218262</c:v>
                </c:pt>
                <c:pt idx="20">
                  <c:v>1.050123572349548</c:v>
                </c:pt>
                <c:pt idx="21">
                  <c:v>1.032474398612976</c:v>
                </c:pt>
                <c:pt idx="22">
                  <c:v>1.006000757217407</c:v>
                </c:pt>
                <c:pt idx="23">
                  <c:v>0.9707024097442627</c:v>
                </c:pt>
                <c:pt idx="24">
                  <c:v>0.900105893611908</c:v>
                </c:pt>
                <c:pt idx="25">
                  <c:v>0.8559830784797669</c:v>
                </c:pt>
                <c:pt idx="26">
                  <c:v>0.8295093774795532</c:v>
                </c:pt>
                <c:pt idx="27">
                  <c:v>0.8295093774795532</c:v>
                </c:pt>
                <c:pt idx="28">
                  <c:v>0.7412636876106262</c:v>
                </c:pt>
                <c:pt idx="29">
                  <c:v>0.6971408128738403</c:v>
                </c:pt>
                <c:pt idx="30">
                  <c:v>0.6088951826095581</c:v>
                </c:pt>
                <c:pt idx="31">
                  <c:v>0.600070595741272</c:v>
                </c:pt>
                <c:pt idx="32">
                  <c:v>0.5824214816093445</c:v>
                </c:pt>
                <c:pt idx="33">
                  <c:v>0.4412283897399902</c:v>
                </c:pt>
                <c:pt idx="34">
                  <c:v>0.4412283897399902</c:v>
                </c:pt>
                <c:pt idx="35">
                  <c:v>0.388280987739563</c:v>
                </c:pt>
                <c:pt idx="36">
                  <c:v>0.3706318438053131</c:v>
                </c:pt>
                <c:pt idx="37">
                  <c:v>0.361807256937027</c:v>
                </c:pt>
                <c:pt idx="38">
                  <c:v>0.3441581428050995</c:v>
                </c:pt>
                <c:pt idx="39">
                  <c:v>0.3353335559368134</c:v>
                </c:pt>
                <c:pt idx="40">
                  <c:v>0.3265089988708496</c:v>
                </c:pt>
                <c:pt idx="41">
                  <c:v>0.3088598549365997</c:v>
                </c:pt>
                <c:pt idx="42">
                  <c:v>0.2823861539363861</c:v>
                </c:pt>
                <c:pt idx="43">
                  <c:v>0.2647370398044586</c:v>
                </c:pt>
                <c:pt idx="44">
                  <c:v>0.2647370398044586</c:v>
                </c:pt>
                <c:pt idx="45">
                  <c:v>0.2470878958702087</c:v>
                </c:pt>
                <c:pt idx="46">
                  <c:v>0.2294387519359589</c:v>
                </c:pt>
                <c:pt idx="47">
                  <c:v>0.2294387519359589</c:v>
                </c:pt>
                <c:pt idx="48">
                  <c:v>0.1941404938697815</c:v>
                </c:pt>
                <c:pt idx="49">
                  <c:v>0.1411930769681931</c:v>
                </c:pt>
                <c:pt idx="50">
                  <c:v>0.1411930769681931</c:v>
                </c:pt>
                <c:pt idx="51">
                  <c:v>0.1235439479351044</c:v>
                </c:pt>
                <c:pt idx="52">
                  <c:v>0.1235439479351044</c:v>
                </c:pt>
                <c:pt idx="53">
                  <c:v>0.1235439479351044</c:v>
                </c:pt>
                <c:pt idx="54">
                  <c:v>0.1147193759679794</c:v>
                </c:pt>
                <c:pt idx="55">
                  <c:v>0.07942111045122147</c:v>
                </c:pt>
                <c:pt idx="56">
                  <c:v>0.06177197396755219</c:v>
                </c:pt>
                <c:pt idx="57">
                  <c:v>0.05294740572571755</c:v>
                </c:pt>
                <c:pt idx="58">
                  <c:v>0.05294740572571755</c:v>
                </c:pt>
                <c:pt idx="59">
                  <c:v>0.0441228374838829</c:v>
                </c:pt>
                <c:pt idx="60">
                  <c:v>0.0441228374838829</c:v>
                </c:pt>
                <c:pt idx="61">
                  <c:v>0.0441228374838829</c:v>
                </c:pt>
                <c:pt idx="62">
                  <c:v>0.03529826924204826</c:v>
                </c:pt>
                <c:pt idx="63">
                  <c:v>0.03529826924204826</c:v>
                </c:pt>
                <c:pt idx="64">
                  <c:v>0.02647370286285877</c:v>
                </c:pt>
                <c:pt idx="65">
                  <c:v>0.02647370286285877</c:v>
                </c:pt>
                <c:pt idx="66">
                  <c:v>0.02647370286285877</c:v>
                </c:pt>
                <c:pt idx="67">
                  <c:v>0.008824567310512066</c:v>
                </c:pt>
                <c:pt idx="68">
                  <c:v>0.008824567310512066</c:v>
                </c:pt>
                <c:pt idx="69">
                  <c:v>0.008824567310512066</c:v>
                </c:pt>
                <c:pt idx="70">
                  <c:v>0.008824567310512066</c:v>
                </c:pt>
                <c:pt idx="71">
                  <c:v>0.008824567310512066</c:v>
                </c:pt>
                <c:pt idx="72">
                  <c:v>0.008824567310512066</c:v>
                </c:pt>
                <c:pt idx="7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6" totalsRowCount="1">
  <autoFilter ref="A2:H7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6" totalsRowCount="1">
  <autoFilter ref="A2:H7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75</v>
      </c>
      <c r="B2" t="s">
        <v>77</v>
      </c>
      <c r="C2" t="s">
        <v>78</v>
      </c>
      <c r="D2" t="s">
        <v>79</v>
      </c>
      <c r="E2" t="s">
        <v>80</v>
      </c>
      <c r="F2" t="s">
        <v>81</v>
      </c>
      <c r="G2" t="s">
        <v>82</v>
      </c>
      <c r="H2" t="s">
        <v>83</v>
      </c>
    </row>
    <row r="3" spans="1:8">
      <c r="A3" s="1" t="s">
        <v>1</v>
      </c>
      <c r="B3" s="2">
        <v>44.31753158569336</v>
      </c>
      <c r="C3" s="1">
        <v>3104</v>
      </c>
      <c r="D3" s="1">
        <v>504</v>
      </c>
      <c r="E3" s="1">
        <v>472</v>
      </c>
      <c r="F3" s="1">
        <v>0</v>
      </c>
      <c r="G3" s="1">
        <v>32</v>
      </c>
      <c r="H3" s="1">
        <v>3072</v>
      </c>
    </row>
    <row r="4" spans="1:8">
      <c r="A4" s="1" t="s">
        <v>2</v>
      </c>
      <c r="B4" s="2">
        <v>21.93032646179199</v>
      </c>
      <c r="C4" s="1">
        <v>1536</v>
      </c>
      <c r="D4" s="1">
        <v>536</v>
      </c>
      <c r="E4" s="1">
        <v>64</v>
      </c>
      <c r="F4" s="1">
        <v>472</v>
      </c>
      <c r="G4" s="1">
        <v>0</v>
      </c>
      <c r="H4" s="1">
        <v>1536</v>
      </c>
    </row>
    <row r="5" spans="1:8">
      <c r="A5" s="1" t="s">
        <v>3</v>
      </c>
      <c r="B5" s="2">
        <v>6.510565280914307</v>
      </c>
      <c r="C5" s="1">
        <v>456</v>
      </c>
      <c r="D5" s="1">
        <v>0</v>
      </c>
      <c r="E5" s="1">
        <v>0</v>
      </c>
      <c r="F5" s="1">
        <v>0</v>
      </c>
      <c r="G5" s="1">
        <v>0</v>
      </c>
      <c r="H5" s="1">
        <v>456</v>
      </c>
    </row>
    <row r="6" spans="1:8">
      <c r="A6" s="1" t="s">
        <v>4</v>
      </c>
      <c r="B6" s="2">
        <v>4.683038234710693</v>
      </c>
      <c r="C6" s="1">
        <v>328</v>
      </c>
      <c r="D6" s="1">
        <v>1032</v>
      </c>
      <c r="E6" s="1">
        <v>1028</v>
      </c>
      <c r="F6" s="1">
        <v>0</v>
      </c>
      <c r="G6" s="1">
        <v>4</v>
      </c>
      <c r="H6" s="1">
        <v>324</v>
      </c>
    </row>
    <row r="7" spans="1:8">
      <c r="A7" s="1" t="s">
        <v>5</v>
      </c>
      <c r="B7" s="2">
        <v>4.283266544342041</v>
      </c>
      <c r="C7" s="1">
        <v>300</v>
      </c>
      <c r="D7" s="1">
        <v>1454</v>
      </c>
      <c r="E7" s="1">
        <v>1394</v>
      </c>
      <c r="F7" s="1">
        <v>0</v>
      </c>
      <c r="G7" s="1">
        <v>60</v>
      </c>
      <c r="H7" s="1">
        <v>240</v>
      </c>
    </row>
    <row r="8" spans="1:8">
      <c r="A8" s="1" t="s">
        <v>6</v>
      </c>
      <c r="B8" s="2">
        <v>3.198172569274902</v>
      </c>
      <c r="C8" s="1">
        <v>224</v>
      </c>
      <c r="D8" s="1">
        <v>132</v>
      </c>
      <c r="E8" s="1">
        <v>132</v>
      </c>
      <c r="F8" s="1">
        <v>0</v>
      </c>
      <c r="G8" s="1">
        <v>0</v>
      </c>
      <c r="H8" s="1">
        <v>224</v>
      </c>
    </row>
    <row r="9" spans="1:8">
      <c r="A9" s="1" t="s">
        <v>7</v>
      </c>
      <c r="B9" s="2">
        <v>2.85551118850708</v>
      </c>
      <c r="C9" s="1">
        <v>200</v>
      </c>
      <c r="D9" s="1">
        <v>328</v>
      </c>
      <c r="E9" s="1">
        <v>328</v>
      </c>
      <c r="F9" s="1">
        <v>0</v>
      </c>
      <c r="G9" s="1">
        <v>0</v>
      </c>
      <c r="H9" s="1">
        <v>200</v>
      </c>
    </row>
    <row r="10" spans="1:8">
      <c r="A10" s="1" t="s">
        <v>8</v>
      </c>
      <c r="B10" s="2">
        <v>2.113078355789185</v>
      </c>
      <c r="C10" s="1">
        <v>148</v>
      </c>
      <c r="D10" s="1">
        <v>228</v>
      </c>
      <c r="E10" s="1">
        <v>228</v>
      </c>
      <c r="F10" s="1">
        <v>0</v>
      </c>
      <c r="G10" s="1">
        <v>0</v>
      </c>
      <c r="H10" s="1">
        <v>148</v>
      </c>
    </row>
    <row r="11" spans="1:8">
      <c r="A11" s="1" t="s">
        <v>9</v>
      </c>
      <c r="B11" s="2">
        <v>1.42775559425354</v>
      </c>
      <c r="C11" s="1">
        <v>100</v>
      </c>
      <c r="D11" s="1">
        <v>220</v>
      </c>
      <c r="E11" s="1">
        <v>220</v>
      </c>
      <c r="F11" s="1">
        <v>0</v>
      </c>
      <c r="G11" s="1">
        <v>0</v>
      </c>
      <c r="H11" s="1">
        <v>100</v>
      </c>
    </row>
    <row r="12" spans="1:8">
      <c r="A12" s="1" t="s">
        <v>10</v>
      </c>
      <c r="B12" s="2">
        <v>1.370645403862</v>
      </c>
      <c r="C12" s="1">
        <v>96</v>
      </c>
      <c r="D12" s="1">
        <v>692</v>
      </c>
      <c r="E12" s="1">
        <v>692</v>
      </c>
      <c r="F12" s="1">
        <v>0</v>
      </c>
      <c r="G12" s="1">
        <v>0</v>
      </c>
      <c r="H12" s="1">
        <v>96</v>
      </c>
    </row>
    <row r="13" spans="1:8">
      <c r="A13" s="1" t="s">
        <v>11</v>
      </c>
      <c r="B13" s="2">
        <v>1.370645403862</v>
      </c>
      <c r="C13" s="1">
        <v>96</v>
      </c>
      <c r="D13" s="1">
        <v>8</v>
      </c>
      <c r="E13" s="1">
        <v>8</v>
      </c>
      <c r="F13" s="1">
        <v>0</v>
      </c>
      <c r="G13" s="1">
        <v>0</v>
      </c>
      <c r="H13" s="1">
        <v>96</v>
      </c>
    </row>
    <row r="14" spans="1:8">
      <c r="A14" s="1" t="s">
        <v>12</v>
      </c>
      <c r="B14" s="2">
        <v>1.256424903869629</v>
      </c>
      <c r="C14" s="1">
        <v>88</v>
      </c>
      <c r="D14" s="1">
        <v>100</v>
      </c>
      <c r="E14" s="1">
        <v>100</v>
      </c>
      <c r="F14" s="1">
        <v>0</v>
      </c>
      <c r="G14" s="1">
        <v>0</v>
      </c>
      <c r="H14" s="1">
        <v>88</v>
      </c>
    </row>
    <row r="15" spans="1:8">
      <c r="A15" s="1" t="s">
        <v>13</v>
      </c>
      <c r="B15" s="2">
        <v>1.199314713478088</v>
      </c>
      <c r="C15" s="1">
        <v>84</v>
      </c>
      <c r="D15" s="1">
        <v>252</v>
      </c>
      <c r="E15" s="1">
        <v>252</v>
      </c>
      <c r="F15" s="1">
        <v>0</v>
      </c>
      <c r="G15" s="1">
        <v>0</v>
      </c>
      <c r="H15" s="1">
        <v>84</v>
      </c>
    </row>
    <row r="16" spans="1:8">
      <c r="A16" s="1" t="s">
        <v>14</v>
      </c>
      <c r="B16" s="2">
        <v>1.085094213485718</v>
      </c>
      <c r="C16" s="1">
        <v>76</v>
      </c>
      <c r="D16" s="1">
        <v>452</v>
      </c>
      <c r="E16" s="1">
        <v>452</v>
      </c>
      <c r="F16" s="1">
        <v>0</v>
      </c>
      <c r="G16" s="1">
        <v>0</v>
      </c>
      <c r="H16" s="1">
        <v>76</v>
      </c>
    </row>
    <row r="17" spans="1:8">
      <c r="A17" s="1" t="s">
        <v>15</v>
      </c>
      <c r="B17" s="2">
        <v>1.085094213485718</v>
      </c>
      <c r="C17" s="1">
        <v>76</v>
      </c>
      <c r="D17" s="1">
        <v>136</v>
      </c>
      <c r="E17" s="1">
        <v>136</v>
      </c>
      <c r="F17" s="1">
        <v>0</v>
      </c>
      <c r="G17" s="1">
        <v>0</v>
      </c>
      <c r="H17" s="1">
        <v>76</v>
      </c>
    </row>
    <row r="18" spans="1:8">
      <c r="A18" s="1" t="s">
        <v>16</v>
      </c>
      <c r="B18" s="2">
        <v>0.5711022019386292</v>
      </c>
      <c r="C18" s="1">
        <v>40</v>
      </c>
      <c r="D18" s="1">
        <v>76</v>
      </c>
      <c r="E18" s="1">
        <v>76</v>
      </c>
      <c r="F18" s="1">
        <v>0</v>
      </c>
      <c r="G18" s="1">
        <v>0</v>
      </c>
      <c r="H18" s="1">
        <v>40</v>
      </c>
    </row>
    <row r="19" spans="1:8">
      <c r="A19" s="1" t="s">
        <v>17</v>
      </c>
      <c r="B19" s="2">
        <v>0.2855511009693146</v>
      </c>
      <c r="C19" s="1">
        <v>20</v>
      </c>
      <c r="D19" s="1">
        <v>188</v>
      </c>
      <c r="E19" s="1">
        <v>188</v>
      </c>
      <c r="F19" s="1">
        <v>0</v>
      </c>
      <c r="G19" s="1">
        <v>0</v>
      </c>
      <c r="H19" s="1">
        <v>20</v>
      </c>
    </row>
    <row r="20" spans="1:8">
      <c r="A20" s="1" t="s">
        <v>18</v>
      </c>
      <c r="B20" s="2">
        <v>0.1713306754827499</v>
      </c>
      <c r="C20" s="1">
        <v>12</v>
      </c>
      <c r="D20" s="1">
        <v>70</v>
      </c>
      <c r="E20" s="1">
        <v>58</v>
      </c>
      <c r="F20" s="1">
        <v>0</v>
      </c>
      <c r="G20" s="1">
        <v>12</v>
      </c>
      <c r="H20" s="1">
        <v>0</v>
      </c>
    </row>
    <row r="21" spans="1:8">
      <c r="A21" s="1" t="s">
        <v>19</v>
      </c>
      <c r="B21" s="2">
        <v>0.1713306754827499</v>
      </c>
      <c r="C21" s="1">
        <v>12</v>
      </c>
      <c r="D21" s="1">
        <v>714</v>
      </c>
      <c r="E21" s="1">
        <v>702</v>
      </c>
      <c r="F21" s="1">
        <v>0</v>
      </c>
      <c r="G21" s="1">
        <v>12</v>
      </c>
      <c r="H21" s="1">
        <v>0</v>
      </c>
    </row>
    <row r="22" spans="1:8">
      <c r="A22" s="1" t="s">
        <v>20</v>
      </c>
      <c r="B22" s="2">
        <v>0.05711022391915321</v>
      </c>
      <c r="C22" s="1">
        <v>4</v>
      </c>
      <c r="D22" s="1">
        <v>44</v>
      </c>
      <c r="E22" s="1">
        <v>16</v>
      </c>
      <c r="F22" s="1">
        <v>24</v>
      </c>
      <c r="G22" s="1">
        <v>4</v>
      </c>
      <c r="H22" s="1">
        <v>0</v>
      </c>
    </row>
    <row r="23" spans="1:8">
      <c r="A23" s="1" t="s">
        <v>21</v>
      </c>
      <c r="B23" s="2">
        <v>0.05711022391915321</v>
      </c>
      <c r="C23" s="1">
        <v>4</v>
      </c>
      <c r="D23" s="1">
        <v>84</v>
      </c>
      <c r="E23" s="1">
        <v>48</v>
      </c>
      <c r="F23" s="1">
        <v>32</v>
      </c>
      <c r="G23" s="1">
        <v>4</v>
      </c>
      <c r="H23" s="1">
        <v>0</v>
      </c>
    </row>
    <row r="76" spans="1:8">
      <c r="A76" t="s">
        <v>76</v>
      </c>
      <c r="B76">
        <f>SUBTOTAL(109,[ram_percent])</f>
        <v>0</v>
      </c>
      <c r="C76">
        <f>SUBTOTAL(109,[ram])</f>
        <v>0</v>
      </c>
      <c r="D76">
        <f>SUBTOTAL(109,[flash])</f>
        <v>0</v>
      </c>
      <c r="E76">
        <f>SUBTOTAL(109,[Code])</f>
        <v>0</v>
      </c>
      <c r="F76">
        <f>SUBTOTAL(109,[RO_data])</f>
        <v>0</v>
      </c>
      <c r="G76">
        <f>SUBTOTAL(109,[RW_data])</f>
        <v>0</v>
      </c>
      <c r="H7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75</v>
      </c>
      <c r="B2" t="s">
        <v>84</v>
      </c>
      <c r="C2" t="s">
        <v>79</v>
      </c>
      <c r="D2" t="s">
        <v>78</v>
      </c>
      <c r="E2" t="s">
        <v>80</v>
      </c>
      <c r="F2" t="s">
        <v>81</v>
      </c>
      <c r="G2" t="s">
        <v>82</v>
      </c>
      <c r="H2" t="s">
        <v>83</v>
      </c>
    </row>
    <row r="3" spans="1:8">
      <c r="A3" s="1" t="s">
        <v>22</v>
      </c>
      <c r="B3" s="2">
        <v>10.9424638748169</v>
      </c>
      <c r="C3" s="1">
        <v>2480</v>
      </c>
      <c r="D3" s="1">
        <v>0</v>
      </c>
      <c r="E3" s="1">
        <v>2480</v>
      </c>
      <c r="F3" s="1">
        <v>0</v>
      </c>
      <c r="G3" s="1">
        <v>0</v>
      </c>
      <c r="H3" s="1">
        <v>0</v>
      </c>
    </row>
    <row r="4" spans="1:8">
      <c r="A4" s="1" t="s">
        <v>23</v>
      </c>
      <c r="B4" s="2">
        <v>9.724673271179199</v>
      </c>
      <c r="C4" s="1">
        <v>2204</v>
      </c>
      <c r="D4" s="1">
        <v>0</v>
      </c>
      <c r="E4" s="1">
        <v>2204</v>
      </c>
      <c r="F4" s="1">
        <v>0</v>
      </c>
      <c r="G4" s="1">
        <v>0</v>
      </c>
      <c r="H4" s="1">
        <v>0</v>
      </c>
    </row>
    <row r="5" spans="1:8">
      <c r="A5" s="1" t="s">
        <v>24</v>
      </c>
      <c r="B5" s="2">
        <v>7.968584537506104</v>
      </c>
      <c r="C5" s="1">
        <v>1806</v>
      </c>
      <c r="D5" s="1">
        <v>0</v>
      </c>
      <c r="E5" s="1">
        <v>1806</v>
      </c>
      <c r="F5" s="1">
        <v>0</v>
      </c>
      <c r="G5" s="1">
        <v>0</v>
      </c>
      <c r="H5" s="1">
        <v>0</v>
      </c>
    </row>
    <row r="6" spans="1:8">
      <c r="A6" s="1" t="s">
        <v>25</v>
      </c>
      <c r="B6" s="2">
        <v>7.712672233581543</v>
      </c>
      <c r="C6" s="1">
        <v>1748</v>
      </c>
      <c r="D6" s="1">
        <v>0</v>
      </c>
      <c r="E6" s="1">
        <v>1748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6.415460586547852</v>
      </c>
      <c r="C7" s="1">
        <v>1454</v>
      </c>
      <c r="D7" s="1">
        <v>300</v>
      </c>
      <c r="E7" s="1">
        <v>1394</v>
      </c>
      <c r="F7" s="1">
        <v>0</v>
      </c>
      <c r="G7" s="1">
        <v>60</v>
      </c>
      <c r="H7" s="1">
        <v>240</v>
      </c>
    </row>
    <row r="8" spans="1:8">
      <c r="A8" s="1" t="s">
        <v>26</v>
      </c>
      <c r="B8" s="2">
        <v>6.168372631072998</v>
      </c>
      <c r="C8" s="1">
        <v>1398</v>
      </c>
      <c r="D8" s="1">
        <v>0</v>
      </c>
      <c r="E8" s="1">
        <v>1374</v>
      </c>
      <c r="F8" s="1">
        <v>24</v>
      </c>
      <c r="G8" s="1">
        <v>0</v>
      </c>
      <c r="H8" s="1">
        <v>0</v>
      </c>
    </row>
    <row r="9" spans="1:8">
      <c r="A9" s="1" t="s">
        <v>4</v>
      </c>
      <c r="B9" s="2">
        <v>4.553476810455322</v>
      </c>
      <c r="C9" s="1">
        <v>1032</v>
      </c>
      <c r="D9" s="1">
        <v>328</v>
      </c>
      <c r="E9" s="1">
        <v>1028</v>
      </c>
      <c r="F9" s="1">
        <v>0</v>
      </c>
      <c r="G9" s="1">
        <v>4</v>
      </c>
      <c r="H9" s="1">
        <v>324</v>
      </c>
    </row>
    <row r="10" spans="1:8">
      <c r="A10" s="1" t="s">
        <v>27</v>
      </c>
      <c r="B10" s="2">
        <v>4.032827377319336</v>
      </c>
      <c r="C10" s="1">
        <v>914</v>
      </c>
      <c r="D10" s="1">
        <v>0</v>
      </c>
      <c r="E10" s="1">
        <v>914</v>
      </c>
      <c r="F10" s="1">
        <v>0</v>
      </c>
      <c r="G10" s="1">
        <v>0</v>
      </c>
      <c r="H10" s="1">
        <v>0</v>
      </c>
    </row>
    <row r="11" spans="1:8">
      <c r="A11" s="1" t="s">
        <v>28</v>
      </c>
      <c r="B11" s="2">
        <v>3.388633966445923</v>
      </c>
      <c r="C11" s="1">
        <v>768</v>
      </c>
      <c r="D11" s="1">
        <v>0</v>
      </c>
      <c r="E11" s="1">
        <v>768</v>
      </c>
      <c r="F11" s="1">
        <v>0</v>
      </c>
      <c r="G11" s="1">
        <v>0</v>
      </c>
      <c r="H11" s="1">
        <v>0</v>
      </c>
    </row>
    <row r="12" spans="1:8">
      <c r="A12" s="1" t="s">
        <v>19</v>
      </c>
      <c r="B12" s="2">
        <v>3.150370597839356</v>
      </c>
      <c r="C12" s="1">
        <v>714</v>
      </c>
      <c r="D12" s="1">
        <v>12</v>
      </c>
      <c r="E12" s="1">
        <v>702</v>
      </c>
      <c r="F12" s="1">
        <v>0</v>
      </c>
      <c r="G12" s="1">
        <v>12</v>
      </c>
      <c r="H12" s="1">
        <v>0</v>
      </c>
    </row>
    <row r="13" spans="1:8">
      <c r="A13" s="1" t="s">
        <v>10</v>
      </c>
      <c r="B13" s="2">
        <v>3.053300380706787</v>
      </c>
      <c r="C13" s="1">
        <v>692</v>
      </c>
      <c r="D13" s="1">
        <v>96</v>
      </c>
      <c r="E13" s="1">
        <v>692</v>
      </c>
      <c r="F13" s="1">
        <v>0</v>
      </c>
      <c r="G13" s="1">
        <v>0</v>
      </c>
      <c r="H13" s="1">
        <v>96</v>
      </c>
    </row>
    <row r="14" spans="1:8">
      <c r="A14" s="1" t="s">
        <v>29</v>
      </c>
      <c r="B14" s="2">
        <v>2.532650947570801</v>
      </c>
      <c r="C14" s="1">
        <v>574</v>
      </c>
      <c r="D14" s="1">
        <v>0</v>
      </c>
      <c r="E14" s="1">
        <v>574</v>
      </c>
      <c r="F14" s="1">
        <v>0</v>
      </c>
      <c r="G14" s="1">
        <v>0</v>
      </c>
      <c r="H14" s="1">
        <v>0</v>
      </c>
    </row>
    <row r="15" spans="1:8">
      <c r="A15" s="1" t="s">
        <v>2</v>
      </c>
      <c r="B15" s="2">
        <v>2.364984035491943</v>
      </c>
      <c r="C15" s="1">
        <v>536</v>
      </c>
      <c r="D15" s="1">
        <v>1536</v>
      </c>
      <c r="E15" s="1">
        <v>64</v>
      </c>
      <c r="F15" s="1">
        <v>472</v>
      </c>
      <c r="G15" s="1">
        <v>0</v>
      </c>
      <c r="H15" s="1">
        <v>1536</v>
      </c>
    </row>
    <row r="16" spans="1:8">
      <c r="A16" s="1" t="s">
        <v>1</v>
      </c>
      <c r="B16" s="2">
        <v>2.223791122436523</v>
      </c>
      <c r="C16" s="1">
        <v>504</v>
      </c>
      <c r="D16" s="1">
        <v>3104</v>
      </c>
      <c r="E16" s="1">
        <v>472</v>
      </c>
      <c r="F16" s="1">
        <v>0</v>
      </c>
      <c r="G16" s="1">
        <v>32</v>
      </c>
      <c r="H16" s="1">
        <v>3072</v>
      </c>
    </row>
    <row r="17" spans="1:8">
      <c r="A17" s="1" t="s">
        <v>14</v>
      </c>
      <c r="B17" s="2">
        <v>1.994352221488953</v>
      </c>
      <c r="C17" s="1">
        <v>452</v>
      </c>
      <c r="D17" s="1">
        <v>76</v>
      </c>
      <c r="E17" s="1">
        <v>452</v>
      </c>
      <c r="F17" s="1">
        <v>0</v>
      </c>
      <c r="G17" s="1">
        <v>0</v>
      </c>
      <c r="H17" s="1">
        <v>76</v>
      </c>
    </row>
    <row r="18" spans="1:8">
      <c r="A18" s="1" t="s">
        <v>30</v>
      </c>
      <c r="B18" s="2">
        <v>1.614895820617676</v>
      </c>
      <c r="C18" s="1">
        <v>366</v>
      </c>
      <c r="D18" s="1">
        <v>0</v>
      </c>
      <c r="E18" s="1">
        <v>366</v>
      </c>
      <c r="F18" s="1">
        <v>0</v>
      </c>
      <c r="G18" s="1">
        <v>0</v>
      </c>
      <c r="H18" s="1">
        <v>0</v>
      </c>
    </row>
    <row r="19" spans="1:8">
      <c r="A19" s="1" t="s">
        <v>7</v>
      </c>
      <c r="B19" s="2">
        <v>1.447229027748108</v>
      </c>
      <c r="C19" s="1">
        <v>328</v>
      </c>
      <c r="D19" s="1">
        <v>200</v>
      </c>
      <c r="E19" s="1">
        <v>328</v>
      </c>
      <c r="F19" s="1">
        <v>0</v>
      </c>
      <c r="G19" s="1">
        <v>0</v>
      </c>
      <c r="H19" s="1">
        <v>200</v>
      </c>
    </row>
    <row r="20" spans="1:8">
      <c r="A20" s="1" t="s">
        <v>31</v>
      </c>
      <c r="B20" s="2">
        <v>1.314860582351685</v>
      </c>
      <c r="C20" s="1">
        <v>298</v>
      </c>
      <c r="D20" s="1">
        <v>0</v>
      </c>
      <c r="E20" s="1">
        <v>282</v>
      </c>
      <c r="F20" s="1">
        <v>16</v>
      </c>
      <c r="G20" s="1">
        <v>0</v>
      </c>
      <c r="H20" s="1">
        <v>0</v>
      </c>
    </row>
    <row r="21" spans="1:8">
      <c r="A21" s="1" t="s">
        <v>32</v>
      </c>
      <c r="B21" s="2">
        <v>1.200141191482544</v>
      </c>
      <c r="C21" s="1">
        <v>272</v>
      </c>
      <c r="D21" s="1">
        <v>0</v>
      </c>
      <c r="E21" s="1">
        <v>272</v>
      </c>
      <c r="F21" s="1">
        <v>0</v>
      </c>
      <c r="G21" s="1">
        <v>0</v>
      </c>
      <c r="H21" s="1">
        <v>0</v>
      </c>
    </row>
    <row r="22" spans="1:8">
      <c r="A22" s="1" t="s">
        <v>13</v>
      </c>
      <c r="B22" s="2">
        <v>1.111895561218262</v>
      </c>
      <c r="C22" s="1">
        <v>252</v>
      </c>
      <c r="D22" s="1">
        <v>84</v>
      </c>
      <c r="E22" s="1">
        <v>252</v>
      </c>
      <c r="F22" s="1">
        <v>0</v>
      </c>
      <c r="G22" s="1">
        <v>0</v>
      </c>
      <c r="H22" s="1">
        <v>84</v>
      </c>
    </row>
    <row r="23" spans="1:8">
      <c r="A23" s="1" t="s">
        <v>33</v>
      </c>
      <c r="B23" s="2">
        <v>1.050123572349548</v>
      </c>
      <c r="C23" s="1">
        <v>238</v>
      </c>
      <c r="D23" s="1">
        <v>0</v>
      </c>
      <c r="E23" s="1">
        <v>238</v>
      </c>
      <c r="F23" s="1">
        <v>0</v>
      </c>
      <c r="G23" s="1">
        <v>0</v>
      </c>
      <c r="H23" s="1">
        <v>0</v>
      </c>
    </row>
    <row r="24" spans="1:8">
      <c r="A24" s="1" t="s">
        <v>34</v>
      </c>
      <c r="B24" s="2">
        <v>1.032474398612976</v>
      </c>
      <c r="C24" s="1">
        <v>234</v>
      </c>
      <c r="D24" s="1">
        <v>0</v>
      </c>
      <c r="E24" s="1">
        <v>234</v>
      </c>
      <c r="F24" s="1">
        <v>0</v>
      </c>
      <c r="G24" s="1">
        <v>0</v>
      </c>
      <c r="H24" s="1">
        <v>0</v>
      </c>
    </row>
    <row r="25" spans="1:8">
      <c r="A25" s="1" t="s">
        <v>8</v>
      </c>
      <c r="B25" s="2">
        <v>1.006000757217407</v>
      </c>
      <c r="C25" s="1">
        <v>228</v>
      </c>
      <c r="D25" s="1">
        <v>148</v>
      </c>
      <c r="E25" s="1">
        <v>228</v>
      </c>
      <c r="F25" s="1">
        <v>0</v>
      </c>
      <c r="G25" s="1">
        <v>0</v>
      </c>
      <c r="H25" s="1">
        <v>148</v>
      </c>
    </row>
    <row r="26" spans="1:8">
      <c r="A26" s="1" t="s">
        <v>9</v>
      </c>
      <c r="B26" s="2">
        <v>0.9707024097442627</v>
      </c>
      <c r="C26" s="1">
        <v>220</v>
      </c>
      <c r="D26" s="1">
        <v>100</v>
      </c>
      <c r="E26" s="1">
        <v>220</v>
      </c>
      <c r="F26" s="1">
        <v>0</v>
      </c>
      <c r="G26" s="1">
        <v>0</v>
      </c>
      <c r="H26" s="1">
        <v>100</v>
      </c>
    </row>
    <row r="27" spans="1:8">
      <c r="A27" s="1" t="s">
        <v>35</v>
      </c>
      <c r="B27" s="2">
        <v>0.900105893611908</v>
      </c>
      <c r="C27" s="1">
        <v>204</v>
      </c>
      <c r="D27" s="1">
        <v>0</v>
      </c>
      <c r="E27" s="1">
        <v>204</v>
      </c>
      <c r="F27" s="1">
        <v>0</v>
      </c>
      <c r="G27" s="1">
        <v>0</v>
      </c>
      <c r="H27" s="1">
        <v>0</v>
      </c>
    </row>
    <row r="28" spans="1:8">
      <c r="A28" s="1" t="s">
        <v>36</v>
      </c>
      <c r="B28" s="2">
        <v>0.8559830784797669</v>
      </c>
      <c r="C28" s="1">
        <v>194</v>
      </c>
      <c r="D28" s="1">
        <v>0</v>
      </c>
      <c r="E28" s="1">
        <v>194</v>
      </c>
      <c r="F28" s="1">
        <v>0</v>
      </c>
      <c r="G28" s="1">
        <v>0</v>
      </c>
      <c r="H28" s="1">
        <v>0</v>
      </c>
    </row>
    <row r="29" spans="1:8">
      <c r="A29" s="1" t="s">
        <v>17</v>
      </c>
      <c r="B29" s="2">
        <v>0.8295093774795532</v>
      </c>
      <c r="C29" s="1">
        <v>188</v>
      </c>
      <c r="D29" s="1">
        <v>20</v>
      </c>
      <c r="E29" s="1">
        <v>188</v>
      </c>
      <c r="F29" s="1">
        <v>0</v>
      </c>
      <c r="G29" s="1">
        <v>0</v>
      </c>
      <c r="H29" s="1">
        <v>20</v>
      </c>
    </row>
    <row r="30" spans="1:8">
      <c r="A30" s="1" t="s">
        <v>37</v>
      </c>
      <c r="B30" s="2">
        <v>0.8295093774795532</v>
      </c>
      <c r="C30" s="1">
        <v>188</v>
      </c>
      <c r="D30" s="1">
        <v>0</v>
      </c>
      <c r="E30" s="1">
        <v>188</v>
      </c>
      <c r="F30" s="1">
        <v>0</v>
      </c>
      <c r="G30" s="1">
        <v>0</v>
      </c>
      <c r="H30" s="1">
        <v>0</v>
      </c>
    </row>
    <row r="31" spans="1:8">
      <c r="A31" s="1" t="s">
        <v>38</v>
      </c>
      <c r="B31" s="2">
        <v>0.7412636876106262</v>
      </c>
      <c r="C31" s="1">
        <v>168</v>
      </c>
      <c r="D31" s="1">
        <v>0</v>
      </c>
      <c r="E31" s="1">
        <v>168</v>
      </c>
      <c r="F31" s="1">
        <v>0</v>
      </c>
      <c r="G31" s="1">
        <v>0</v>
      </c>
      <c r="H31" s="1">
        <v>0</v>
      </c>
    </row>
    <row r="32" spans="1:8">
      <c r="A32" s="1" t="s">
        <v>39</v>
      </c>
      <c r="B32" s="2">
        <v>0.6971408128738403</v>
      </c>
      <c r="C32" s="1">
        <v>158</v>
      </c>
      <c r="D32" s="1">
        <v>0</v>
      </c>
      <c r="E32" s="1">
        <v>158</v>
      </c>
      <c r="F32" s="1">
        <v>0</v>
      </c>
      <c r="G32" s="1">
        <v>0</v>
      </c>
      <c r="H32" s="1">
        <v>0</v>
      </c>
    </row>
    <row r="33" spans="1:8">
      <c r="A33" s="1" t="s">
        <v>40</v>
      </c>
      <c r="B33" s="2">
        <v>0.6088951826095581</v>
      </c>
      <c r="C33" s="1">
        <v>138</v>
      </c>
      <c r="D33" s="1">
        <v>0</v>
      </c>
      <c r="E33" s="1">
        <v>138</v>
      </c>
      <c r="F33" s="1">
        <v>0</v>
      </c>
      <c r="G33" s="1">
        <v>0</v>
      </c>
      <c r="H33" s="1">
        <v>0</v>
      </c>
    </row>
    <row r="34" spans="1:8">
      <c r="A34" s="1" t="s">
        <v>15</v>
      </c>
      <c r="B34" s="2">
        <v>0.600070595741272</v>
      </c>
      <c r="C34" s="1">
        <v>136</v>
      </c>
      <c r="D34" s="1">
        <v>76</v>
      </c>
      <c r="E34" s="1">
        <v>136</v>
      </c>
      <c r="F34" s="1">
        <v>0</v>
      </c>
      <c r="G34" s="1">
        <v>0</v>
      </c>
      <c r="H34" s="1">
        <v>76</v>
      </c>
    </row>
    <row r="35" spans="1:8">
      <c r="A35" s="1" t="s">
        <v>6</v>
      </c>
      <c r="B35" s="2">
        <v>0.5824214816093445</v>
      </c>
      <c r="C35" s="1">
        <v>132</v>
      </c>
      <c r="D35" s="1">
        <v>224</v>
      </c>
      <c r="E35" s="1">
        <v>132</v>
      </c>
      <c r="F35" s="1">
        <v>0</v>
      </c>
      <c r="G35" s="1">
        <v>0</v>
      </c>
      <c r="H35" s="1">
        <v>224</v>
      </c>
    </row>
    <row r="36" spans="1:8">
      <c r="A36" s="1" t="s">
        <v>41</v>
      </c>
      <c r="B36" s="2">
        <v>0.4412283897399902</v>
      </c>
      <c r="C36" s="1">
        <v>100</v>
      </c>
      <c r="D36" s="1">
        <v>0</v>
      </c>
      <c r="E36" s="1">
        <v>100</v>
      </c>
      <c r="F36" s="1">
        <v>0</v>
      </c>
      <c r="G36" s="1">
        <v>0</v>
      </c>
      <c r="H36" s="1">
        <v>0</v>
      </c>
    </row>
    <row r="37" spans="1:8">
      <c r="A37" s="1" t="s">
        <v>12</v>
      </c>
      <c r="B37" s="2">
        <v>0.4412283897399902</v>
      </c>
      <c r="C37" s="1">
        <v>100</v>
      </c>
      <c r="D37" s="1">
        <v>88</v>
      </c>
      <c r="E37" s="1">
        <v>100</v>
      </c>
      <c r="F37" s="1">
        <v>0</v>
      </c>
      <c r="G37" s="1">
        <v>0</v>
      </c>
      <c r="H37" s="1">
        <v>88</v>
      </c>
    </row>
    <row r="38" spans="1:8">
      <c r="A38" s="1" t="s">
        <v>42</v>
      </c>
      <c r="B38" s="2">
        <v>0.388280987739563</v>
      </c>
      <c r="C38" s="1">
        <v>88</v>
      </c>
      <c r="D38" s="1">
        <v>0</v>
      </c>
      <c r="E38" s="1">
        <v>88</v>
      </c>
      <c r="F38" s="1">
        <v>0</v>
      </c>
      <c r="G38" s="1">
        <v>0</v>
      </c>
      <c r="H38" s="1">
        <v>0</v>
      </c>
    </row>
    <row r="39" spans="1:8">
      <c r="A39" s="1" t="s">
        <v>21</v>
      </c>
      <c r="B39" s="2">
        <v>0.3706318438053131</v>
      </c>
      <c r="C39" s="1">
        <v>84</v>
      </c>
      <c r="D39" s="1">
        <v>4</v>
      </c>
      <c r="E39" s="1">
        <v>48</v>
      </c>
      <c r="F39" s="1">
        <v>32</v>
      </c>
      <c r="G39" s="1">
        <v>4</v>
      </c>
      <c r="H39" s="1">
        <v>0</v>
      </c>
    </row>
    <row r="40" spans="1:8">
      <c r="A40" s="1" t="s">
        <v>43</v>
      </c>
      <c r="B40" s="2">
        <v>0.361807256937027</v>
      </c>
      <c r="C40" s="1">
        <v>82</v>
      </c>
      <c r="D40" s="1">
        <v>0</v>
      </c>
      <c r="E40" s="1">
        <v>82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0.3441581428050995</v>
      </c>
      <c r="C41" s="1">
        <v>78</v>
      </c>
      <c r="D41" s="1">
        <v>0</v>
      </c>
      <c r="E41" s="1">
        <v>78</v>
      </c>
      <c r="F41" s="1">
        <v>0</v>
      </c>
      <c r="G41" s="1">
        <v>0</v>
      </c>
      <c r="H41" s="1">
        <v>0</v>
      </c>
    </row>
    <row r="42" spans="1:8">
      <c r="A42" s="1" t="s">
        <v>16</v>
      </c>
      <c r="B42" s="2">
        <v>0.3353335559368134</v>
      </c>
      <c r="C42" s="1">
        <v>76</v>
      </c>
      <c r="D42" s="1">
        <v>40</v>
      </c>
      <c r="E42" s="1">
        <v>76</v>
      </c>
      <c r="F42" s="1">
        <v>0</v>
      </c>
      <c r="G42" s="1">
        <v>0</v>
      </c>
      <c r="H42" s="1">
        <v>40</v>
      </c>
    </row>
    <row r="43" spans="1:8">
      <c r="A43" s="1" t="s">
        <v>45</v>
      </c>
      <c r="B43" s="2">
        <v>0.3265089988708496</v>
      </c>
      <c r="C43" s="1">
        <v>74</v>
      </c>
      <c r="D43" s="1">
        <v>0</v>
      </c>
      <c r="E43" s="1">
        <v>74</v>
      </c>
      <c r="F43" s="1">
        <v>0</v>
      </c>
      <c r="G43" s="1">
        <v>0</v>
      </c>
      <c r="H43" s="1">
        <v>0</v>
      </c>
    </row>
    <row r="44" spans="1:8">
      <c r="A44" s="1" t="s">
        <v>18</v>
      </c>
      <c r="B44" s="2">
        <v>0.3088598549365997</v>
      </c>
      <c r="C44" s="1">
        <v>70</v>
      </c>
      <c r="D44" s="1">
        <v>12</v>
      </c>
      <c r="E44" s="1">
        <v>58</v>
      </c>
      <c r="F44" s="1">
        <v>0</v>
      </c>
      <c r="G44" s="1">
        <v>12</v>
      </c>
      <c r="H44" s="1">
        <v>0</v>
      </c>
    </row>
    <row r="45" spans="1:8">
      <c r="A45" s="1" t="s">
        <v>46</v>
      </c>
      <c r="B45" s="2">
        <v>0.2823861539363861</v>
      </c>
      <c r="C45" s="1">
        <v>64</v>
      </c>
      <c r="D45" s="1">
        <v>0</v>
      </c>
      <c r="E45" s="1">
        <v>64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0.2647370398044586</v>
      </c>
      <c r="C46" s="1">
        <v>60</v>
      </c>
      <c r="D46" s="1">
        <v>0</v>
      </c>
      <c r="E46" s="1">
        <v>60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0.2647370398044586</v>
      </c>
      <c r="C47" s="1">
        <v>60</v>
      </c>
      <c r="D47" s="1">
        <v>0</v>
      </c>
      <c r="E47" s="1">
        <v>60</v>
      </c>
      <c r="F47" s="1">
        <v>0</v>
      </c>
      <c r="G47" s="1">
        <v>0</v>
      </c>
      <c r="H47" s="1">
        <v>0</v>
      </c>
    </row>
    <row r="48" spans="1:8">
      <c r="A48" s="1" t="s">
        <v>49</v>
      </c>
      <c r="B48" s="2">
        <v>0.2470878958702087</v>
      </c>
      <c r="C48" s="1">
        <v>56</v>
      </c>
      <c r="D48" s="1">
        <v>0</v>
      </c>
      <c r="E48" s="1">
        <v>56</v>
      </c>
      <c r="F48" s="1">
        <v>0</v>
      </c>
      <c r="G48" s="1">
        <v>0</v>
      </c>
      <c r="H48" s="1">
        <v>0</v>
      </c>
    </row>
    <row r="49" spans="1:8">
      <c r="A49" s="1" t="s">
        <v>50</v>
      </c>
      <c r="B49" s="2">
        <v>0.2294387519359589</v>
      </c>
      <c r="C49" s="1">
        <v>52</v>
      </c>
      <c r="D49" s="1">
        <v>0</v>
      </c>
      <c r="E49" s="1">
        <v>52</v>
      </c>
      <c r="F49" s="1">
        <v>0</v>
      </c>
      <c r="G49" s="1">
        <v>0</v>
      </c>
      <c r="H49" s="1">
        <v>0</v>
      </c>
    </row>
    <row r="50" spans="1:8">
      <c r="A50" s="1" t="s">
        <v>51</v>
      </c>
      <c r="B50" s="2">
        <v>0.2294387519359589</v>
      </c>
      <c r="C50" s="1">
        <v>52</v>
      </c>
      <c r="D50" s="1">
        <v>0</v>
      </c>
      <c r="E50" s="1">
        <v>52</v>
      </c>
      <c r="F50" s="1">
        <v>0</v>
      </c>
      <c r="G50" s="1">
        <v>0</v>
      </c>
      <c r="H50" s="1">
        <v>0</v>
      </c>
    </row>
    <row r="51" spans="1:8">
      <c r="A51" s="1" t="s">
        <v>20</v>
      </c>
      <c r="B51" s="2">
        <v>0.1941404938697815</v>
      </c>
      <c r="C51" s="1">
        <v>44</v>
      </c>
      <c r="D51" s="1">
        <v>4</v>
      </c>
      <c r="E51" s="1">
        <v>16</v>
      </c>
      <c r="F51" s="1">
        <v>24</v>
      </c>
      <c r="G51" s="1">
        <v>4</v>
      </c>
      <c r="H51" s="1">
        <v>0</v>
      </c>
    </row>
    <row r="52" spans="1:8">
      <c r="A52" s="1" t="s">
        <v>52</v>
      </c>
      <c r="B52" s="2">
        <v>0.1411930769681931</v>
      </c>
      <c r="C52" s="1">
        <v>32</v>
      </c>
      <c r="D52" s="1">
        <v>0</v>
      </c>
      <c r="E52" s="1">
        <v>32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0.1411930769681931</v>
      </c>
      <c r="C53" s="1">
        <v>32</v>
      </c>
      <c r="D53" s="1">
        <v>0</v>
      </c>
      <c r="E53" s="1">
        <v>32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0.1235439479351044</v>
      </c>
      <c r="C54" s="1">
        <v>28</v>
      </c>
      <c r="D54" s="1">
        <v>0</v>
      </c>
      <c r="E54" s="1">
        <v>28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0.1235439479351044</v>
      </c>
      <c r="C55" s="1">
        <v>28</v>
      </c>
      <c r="D55" s="1">
        <v>0</v>
      </c>
      <c r="E55" s="1">
        <v>28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0.1235439479351044</v>
      </c>
      <c r="C56" s="1">
        <v>28</v>
      </c>
      <c r="D56" s="1">
        <v>0</v>
      </c>
      <c r="E56" s="1">
        <v>28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0.1147193759679794</v>
      </c>
      <c r="C57" s="1">
        <v>26</v>
      </c>
      <c r="D57" s="1">
        <v>0</v>
      </c>
      <c r="E57" s="1">
        <v>26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0.07942111045122147</v>
      </c>
      <c r="C58" s="1">
        <v>18</v>
      </c>
      <c r="D58" s="1">
        <v>0</v>
      </c>
      <c r="E58" s="1">
        <v>18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0.06177197396755219</v>
      </c>
      <c r="C59" s="1">
        <v>14</v>
      </c>
      <c r="D59" s="1">
        <v>0</v>
      </c>
      <c r="E59" s="1">
        <v>14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0.05294740572571755</v>
      </c>
      <c r="C60" s="1">
        <v>12</v>
      </c>
      <c r="D60" s="1">
        <v>0</v>
      </c>
      <c r="E60" s="1">
        <v>12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0.05294740572571755</v>
      </c>
      <c r="C61" s="1">
        <v>12</v>
      </c>
      <c r="D61" s="1">
        <v>0</v>
      </c>
      <c r="E61" s="1">
        <v>12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0.0441228374838829</v>
      </c>
      <c r="C62" s="1">
        <v>10</v>
      </c>
      <c r="D62" s="1">
        <v>0</v>
      </c>
      <c r="E62" s="1">
        <v>10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0.0441228374838829</v>
      </c>
      <c r="C63" s="1">
        <v>10</v>
      </c>
      <c r="D63" s="1">
        <v>0</v>
      </c>
      <c r="E63" s="1">
        <v>10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0.0441228374838829</v>
      </c>
      <c r="C64" s="1">
        <v>10</v>
      </c>
      <c r="D64" s="1">
        <v>0</v>
      </c>
      <c r="E64" s="1">
        <v>10</v>
      </c>
      <c r="F64" s="1">
        <v>0</v>
      </c>
      <c r="G64" s="1">
        <v>0</v>
      </c>
      <c r="H64" s="1">
        <v>0</v>
      </c>
    </row>
    <row r="65" spans="1:8">
      <c r="A65" s="1" t="s">
        <v>11</v>
      </c>
      <c r="B65" s="2">
        <v>0.03529826924204826</v>
      </c>
      <c r="C65" s="1">
        <v>8</v>
      </c>
      <c r="D65" s="1">
        <v>96</v>
      </c>
      <c r="E65" s="1">
        <v>8</v>
      </c>
      <c r="F65" s="1">
        <v>0</v>
      </c>
      <c r="G65" s="1">
        <v>0</v>
      </c>
      <c r="H65" s="1">
        <v>96</v>
      </c>
    </row>
    <row r="66" spans="1:8">
      <c r="A66" s="1" t="s">
        <v>65</v>
      </c>
      <c r="B66" s="2">
        <v>0.03529826924204826</v>
      </c>
      <c r="C66" s="1">
        <v>8</v>
      </c>
      <c r="D66" s="1">
        <v>0</v>
      </c>
      <c r="E66" s="1">
        <v>8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0.02647370286285877</v>
      </c>
      <c r="C67" s="1">
        <v>6</v>
      </c>
      <c r="D67" s="1">
        <v>0</v>
      </c>
      <c r="E67" s="1">
        <v>6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0.02647370286285877</v>
      </c>
      <c r="C68" s="1">
        <v>6</v>
      </c>
      <c r="D68" s="1">
        <v>0</v>
      </c>
      <c r="E68" s="1">
        <v>6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0.02647370286285877</v>
      </c>
      <c r="C69" s="1">
        <v>6</v>
      </c>
      <c r="D69" s="1">
        <v>0</v>
      </c>
      <c r="E69" s="1">
        <v>6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0.008824567310512066</v>
      </c>
      <c r="C70" s="1">
        <v>2</v>
      </c>
      <c r="D70" s="1">
        <v>0</v>
      </c>
      <c r="E70" s="1">
        <v>2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0.008824567310512066</v>
      </c>
      <c r="C71" s="1">
        <v>2</v>
      </c>
      <c r="D71" s="1">
        <v>0</v>
      </c>
      <c r="E71" s="1">
        <v>2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0.008824567310512066</v>
      </c>
      <c r="C72" s="1">
        <v>2</v>
      </c>
      <c r="D72" s="1">
        <v>0</v>
      </c>
      <c r="E72" s="1">
        <v>2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0.008824567310512066</v>
      </c>
      <c r="C73" s="1">
        <v>2</v>
      </c>
      <c r="D73" s="1">
        <v>0</v>
      </c>
      <c r="E73" s="1">
        <v>2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0.008824567310512066</v>
      </c>
      <c r="C74" s="1">
        <v>2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0.008824567310512066</v>
      </c>
      <c r="C75" s="1">
        <v>2</v>
      </c>
      <c r="D75" s="1">
        <v>0</v>
      </c>
      <c r="E75" s="1">
        <v>2</v>
      </c>
      <c r="F75" s="1">
        <v>0</v>
      </c>
      <c r="G75" s="1">
        <v>0</v>
      </c>
      <c r="H75" s="1">
        <v>0</v>
      </c>
    </row>
    <row r="76" spans="1:8">
      <c r="A76" t="s">
        <v>76</v>
      </c>
      <c r="B76">
        <f>SUBTOTAL(109,[flash_percent])</f>
        <v>0</v>
      </c>
      <c r="C76">
        <f>SUBTOTAL(109,[flash])</f>
        <v>0</v>
      </c>
      <c r="D76">
        <f>SUBTOTAL(109,[ram])</f>
        <v>0</v>
      </c>
      <c r="E76">
        <f>SUBTOTAL(109,[Code])</f>
        <v>0</v>
      </c>
      <c r="F76">
        <f>SUBTOTAL(109,[RO_data])</f>
        <v>0</v>
      </c>
      <c r="G76">
        <f>SUBTOTAL(109,[RW_data])</f>
        <v>0</v>
      </c>
      <c r="H7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2026-06-11T08:12:50Z</dcterms:created>
  <dcterms:modified xsi:type="dcterms:W3CDTF">2026-06-11T08:12:50Z</dcterms:modified>
</cp:coreProperties>
</file>