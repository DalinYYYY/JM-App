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m_percent" sheetId="1" r:id="rId1"/>
    <sheet name="flash_percent" sheetId="2" r:id="rId2"/>
  </sheets>
  <calcPr calcId="124519" fullCalcOnLoad="1"/>
</workbook>
</file>

<file path=xl/sharedStrings.xml><?xml version="1.0" encoding="utf-8"?>
<sst xmlns="http://schemas.openxmlformats.org/spreadsheetml/2006/main" count="225" uniqueCount="171">
  <si>
    <t>JointMotorApp</t>
  </si>
  <si>
    <t>heap_4.o</t>
  </si>
  <si>
    <t>drv_usart.o</t>
  </si>
  <si>
    <t>motor_loop.o</t>
  </si>
  <si>
    <t>dev_commun_uart.o</t>
  </si>
  <si>
    <t>packer_parser.o</t>
  </si>
  <si>
    <t>startup_stm32g474xx.o</t>
  </si>
  <si>
    <t>runtime_param.o</t>
  </si>
  <si>
    <t>motor_pid_profile.o</t>
  </si>
  <si>
    <t>usart.o</t>
  </si>
  <si>
    <t>tasks.o</t>
  </si>
  <si>
    <t>dev_power_monitor.o</t>
  </si>
  <si>
    <t>tim.o</t>
  </si>
  <si>
    <t>drv_rtos.o</t>
  </si>
  <si>
    <t>spi.o</t>
  </si>
  <si>
    <t>calib_level2_motor.o</t>
  </si>
  <si>
    <t>dev_dwt_counter.o</t>
  </si>
  <si>
    <t>adc.o</t>
  </si>
  <si>
    <t>fdcan.o</t>
  </si>
  <si>
    <t>i2c.o</t>
  </si>
  <si>
    <t>stm32g4xx_hal_timebase_tim.o</t>
  </si>
  <si>
    <t>dev_led.o</t>
  </si>
  <si>
    <t>calib_mgr.o</t>
  </si>
  <si>
    <t>calib_level5_nonlinear.o</t>
  </si>
  <si>
    <t>dev_encoder_mt6835.o</t>
  </si>
  <si>
    <t>calib_level7_auto.o</t>
  </si>
  <si>
    <t>cordic.o</t>
  </si>
  <si>
    <t>calib_level3_encoder.o</t>
  </si>
  <si>
    <t>dev_motor.o</t>
  </si>
  <si>
    <t>thread_management.o</t>
  </si>
  <si>
    <t>jm_host_commun.o</t>
  </si>
  <si>
    <t>stm32g4xx_hal.o</t>
  </si>
  <si>
    <t>port.o</t>
  </si>
  <si>
    <t>calib_level6_system.o</t>
  </si>
  <si>
    <t>calib_level1_driver.o</t>
  </si>
  <si>
    <t>mc_w.l</t>
  </si>
  <si>
    <t>calib_level4_torque.o</t>
  </si>
  <si>
    <t>jm_proto_ops.o</t>
  </si>
  <si>
    <t>stdout.o</t>
  </si>
  <si>
    <t>errno.o</t>
  </si>
  <si>
    <t>system_stm32g4xx.o</t>
  </si>
  <si>
    <t>system_state.o</t>
  </si>
  <si>
    <t>jm_proto_uart.o</t>
  </si>
  <si>
    <t>calib_hw.o</t>
  </si>
  <si>
    <t>app_freertos.o</t>
  </si>
  <si>
    <t>motor_pid_load.o</t>
  </si>
  <si>
    <t>led_manager.o</t>
  </si>
  <si>
    <t>stm32g4xx_hal_adc.o</t>
  </si>
  <si>
    <t>stm32g4xx_hal_uart.o</t>
  </si>
  <si>
    <t>jm_proto.o</t>
  </si>
  <si>
    <t>stm32g4xx_hal_tim.o</t>
  </si>
  <si>
    <t>motor_param.o</t>
  </si>
  <si>
    <t>m_wm.l</t>
  </si>
  <si>
    <t>stm32g4xx_hal_adc_ex.o</t>
  </si>
  <si>
    <t>arm_cortexM4lf_math.lib</t>
  </si>
  <si>
    <t>printfa.o</t>
  </si>
  <si>
    <t>arm_common_tables.o</t>
  </si>
  <si>
    <t>stm32g4xx_hal_rcc.o</t>
  </si>
  <si>
    <t>motion_param.o</t>
  </si>
  <si>
    <t>queue.o</t>
  </si>
  <si>
    <t>stm32g4xx_hal_spi.o</t>
  </si>
  <si>
    <t>mf_w.l</t>
  </si>
  <si>
    <t>foc_core.o</t>
  </si>
  <si>
    <t>dev_motor_phase_current.o</t>
  </si>
  <si>
    <t>ctrl_transition.o</t>
  </si>
  <si>
    <t>calib_config_runtime.o</t>
  </si>
  <si>
    <t>stm32g4xx_hal_fdcan.o</t>
  </si>
  <si>
    <t>stm32g4xx_hal_dma.o</t>
  </si>
  <si>
    <t>multiturn_counter.o</t>
  </si>
  <si>
    <t>stm32g4xx_hal_rcc_ex.o</t>
  </si>
  <si>
    <t>stm32g4xx_hal_tim_ex.o</t>
  </si>
  <si>
    <t>foc_decoupling.o</t>
  </si>
  <si>
    <t>atan2f.o</t>
  </si>
  <si>
    <t>dev_mt6835.o</t>
  </si>
  <si>
    <t>cascade_control.o</t>
  </si>
  <si>
    <t>dev_half_bridge.o</t>
  </si>
  <si>
    <t>motor_pid_autotune.o</t>
  </si>
  <si>
    <t>current_loop.o</t>
  </si>
  <si>
    <t>crc16.o</t>
  </si>
  <si>
    <t>motor_control.o</t>
  </si>
  <si>
    <t>calib_ac_injection.o</t>
  </si>
  <si>
    <t>stm32g4xx_hal_gpio.o</t>
  </si>
  <si>
    <t>ctrl_transition_mgr.o</t>
  </si>
  <si>
    <t>drv_tim.o</t>
  </si>
  <si>
    <t>sinf.o</t>
  </si>
  <si>
    <t>rredf.o</t>
  </si>
  <si>
    <t>pid_core.o</t>
  </si>
  <si>
    <t>cosf.o</t>
  </si>
  <si>
    <t>dadd.o</t>
  </si>
  <si>
    <t>cmsis_os.o</t>
  </si>
  <si>
    <t>dev_config.o</t>
  </si>
  <si>
    <t>stm32g4xx_hal_uart_ex.o</t>
  </si>
  <si>
    <t>gpio.o</t>
  </si>
  <si>
    <t>main.o</t>
  </si>
  <si>
    <t>drv_gpio.o</t>
  </si>
  <si>
    <t>dmul.o</t>
  </si>
  <si>
    <t>drv_adc.o</t>
  </si>
  <si>
    <t>ddiv.o</t>
  </si>
  <si>
    <t>stm32g4xx_hal_pwr_ex.o</t>
  </si>
  <si>
    <t>drv_spi.o</t>
  </si>
  <si>
    <t>stm32g4xx_hal_i2c.o</t>
  </si>
  <si>
    <t>depilogue.o</t>
  </si>
  <si>
    <t>fmodf.o</t>
  </si>
  <si>
    <t>stm32g4xx_it.o</t>
  </si>
  <si>
    <t>stm32g4xx_hal_i2c_ex.o</t>
  </si>
  <si>
    <t>motor_profile.o</t>
  </si>
  <si>
    <t>stm32g4xx_hal_cortex.o</t>
  </si>
  <si>
    <t>roundf.o</t>
  </si>
  <si>
    <t>arm_cos_f32.o</t>
  </si>
  <si>
    <t>arm_sin_f32.o</t>
  </si>
  <si>
    <t>motor_mode_velocity.o</t>
  </si>
  <si>
    <t>list.o</t>
  </si>
  <si>
    <t>motor_mode_mit.o</t>
  </si>
  <si>
    <t>thread_period.o</t>
  </si>
  <si>
    <t>motor_mode_open_loop.o</t>
  </si>
  <si>
    <t>motor_mode_position.o</t>
  </si>
  <si>
    <t>motor_mode_current.o</t>
  </si>
  <si>
    <t>floorf.o</t>
  </si>
  <si>
    <t>fepilogue.o</t>
  </si>
  <si>
    <t>uldiv.o</t>
  </si>
  <si>
    <t>ldiv.o</t>
  </si>
  <si>
    <t>user_interface.o</t>
  </si>
  <si>
    <t>motor_mode_test_sweep.o</t>
  </si>
  <si>
    <t>motor_mode_torque.o</t>
  </si>
  <si>
    <t>motor_mode_profile_torque.o</t>
  </si>
  <si>
    <t>__dczerorl2.o</t>
  </si>
  <si>
    <t>assert_report.o</t>
  </si>
  <si>
    <t>frem.o</t>
  </si>
  <si>
    <t>motor_mode_profile_velocity.o</t>
  </si>
  <si>
    <t>dma.o</t>
  </si>
  <si>
    <t>motor_mode_duty.o</t>
  </si>
  <si>
    <t>frnd.o</t>
  </si>
  <si>
    <t>stm32g4xx_hal_msp.o</t>
  </si>
  <si>
    <t>sqrtf.o</t>
  </si>
  <si>
    <t>stm32g4xx_hal_cordic.o</t>
  </si>
  <si>
    <t>control_irq.o</t>
  </si>
  <si>
    <t>dfixul.o</t>
  </si>
  <si>
    <t>cdrcmple.o</t>
  </si>
  <si>
    <t>drv_dwt_timer.o</t>
  </si>
  <si>
    <t>uidiv.o</t>
  </si>
  <si>
    <t>funder.o</t>
  </si>
  <si>
    <t>motor_mode_idle.o</t>
  </si>
  <si>
    <t>motor_mode_hold.o</t>
  </si>
  <si>
    <t>fpclassifyf.o</t>
  </si>
  <si>
    <t>memseta.o</t>
  </si>
  <si>
    <t>memcpya.o</t>
  </si>
  <si>
    <t>llsshr.o</t>
  </si>
  <si>
    <t>init.o</t>
  </si>
  <si>
    <t>thread_commun.o</t>
  </si>
  <si>
    <t>llushr.o</t>
  </si>
  <si>
    <t>thread_idle.o</t>
  </si>
  <si>
    <t>thread_display.o</t>
  </si>
  <si>
    <t>thread_control.o</t>
  </si>
  <si>
    <t>motor_info_calib.o</t>
  </si>
  <si>
    <t>llshl.o</t>
  </si>
  <si>
    <t>handlers.o</t>
  </si>
  <si>
    <t>strncpy.o</t>
  </si>
  <si>
    <t>entry9a.o</t>
  </si>
  <si>
    <t>entry2.o</t>
  </si>
  <si>
    <t>entry5.o</t>
  </si>
  <si>
    <t>entry12b.o</t>
  </si>
  <si>
    <t>File_name</t>
  </si>
  <si>
    <t>Totals</t>
  </si>
  <si>
    <t>ram_percent</t>
  </si>
  <si>
    <t>ram</t>
  </si>
  <si>
    <t>flash</t>
  </si>
  <si>
    <t>Code</t>
  </si>
  <si>
    <t>RO_data</t>
  </si>
  <si>
    <t>RW_data</t>
  </si>
  <si>
    <t>ZI_data</t>
  </si>
  <si>
    <t>flash_percent</t>
  </si>
</sst>
</file>

<file path=xl/styles.xml><?xml version="1.0" encoding="utf-8"?>
<styleSheet xmlns="http://schemas.openxmlformats.org/spreadsheetml/2006/main">
  <numFmts count="1">
    <numFmt numFmtId="164" formatCode="0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file percent in used ram 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piechart_ram</c:v>
          </c:tx>
          <c:cat>
            <c:strRef>
              <c:f>ram_percent!$A$3:$A$162</c:f>
              <c:strCache>
                <c:ptCount val="160"/>
                <c:pt idx="0">
                  <c:v>heap_4.o</c:v>
                </c:pt>
                <c:pt idx="1">
                  <c:v>drv_usart.o</c:v>
                </c:pt>
                <c:pt idx="2">
                  <c:v>motor_loop.o</c:v>
                </c:pt>
                <c:pt idx="3">
                  <c:v>dev_commun_uart.o</c:v>
                </c:pt>
                <c:pt idx="4">
                  <c:v>packer_parser.o</c:v>
                </c:pt>
                <c:pt idx="5">
                  <c:v>startup_stm32g474xx.o</c:v>
                </c:pt>
                <c:pt idx="6">
                  <c:v>runtime_param.o</c:v>
                </c:pt>
                <c:pt idx="7">
                  <c:v>motor_pid_profile.o</c:v>
                </c:pt>
                <c:pt idx="8">
                  <c:v>usart.o</c:v>
                </c:pt>
                <c:pt idx="9">
                  <c:v>tasks.o</c:v>
                </c:pt>
                <c:pt idx="10">
                  <c:v>dev_power_monitor.o</c:v>
                </c:pt>
                <c:pt idx="11">
                  <c:v>tim.o</c:v>
                </c:pt>
                <c:pt idx="12">
                  <c:v>drv_rtos.o</c:v>
                </c:pt>
                <c:pt idx="13">
                  <c:v>spi.o</c:v>
                </c:pt>
                <c:pt idx="14">
                  <c:v>calib_level2_motor.o</c:v>
                </c:pt>
                <c:pt idx="15">
                  <c:v>dev_dwt_counter.o</c:v>
                </c:pt>
                <c:pt idx="16">
                  <c:v>adc.o</c:v>
                </c:pt>
                <c:pt idx="17">
                  <c:v>fdcan.o</c:v>
                </c:pt>
                <c:pt idx="18">
                  <c:v>i2c.o</c:v>
                </c:pt>
                <c:pt idx="19">
                  <c:v>stm32g4xx_hal_timebase_tim.o</c:v>
                </c:pt>
                <c:pt idx="20">
                  <c:v>dev_led.o</c:v>
                </c:pt>
                <c:pt idx="21">
                  <c:v>calib_mgr.o</c:v>
                </c:pt>
                <c:pt idx="22">
                  <c:v>calib_level5_nonlinear.o</c:v>
                </c:pt>
                <c:pt idx="23">
                  <c:v>dev_encoder_mt6835.o</c:v>
                </c:pt>
                <c:pt idx="24">
                  <c:v>calib_level7_auto.o</c:v>
                </c:pt>
                <c:pt idx="25">
                  <c:v>cordic.o</c:v>
                </c:pt>
                <c:pt idx="26">
                  <c:v>calib_level3_encoder.o</c:v>
                </c:pt>
                <c:pt idx="27">
                  <c:v>dev_motor.o</c:v>
                </c:pt>
                <c:pt idx="28">
                  <c:v>thread_management.o</c:v>
                </c:pt>
                <c:pt idx="29">
                  <c:v>jm_host_commun.o</c:v>
                </c:pt>
                <c:pt idx="30">
                  <c:v>stm32g4xx_hal.o</c:v>
                </c:pt>
                <c:pt idx="31">
                  <c:v>port.o</c:v>
                </c:pt>
                <c:pt idx="32">
                  <c:v>calib_level6_system.o</c:v>
                </c:pt>
                <c:pt idx="33">
                  <c:v>calib_level1_driver.o</c:v>
                </c:pt>
                <c:pt idx="34">
                  <c:v>mc_w.l</c:v>
                </c:pt>
                <c:pt idx="35">
                  <c:v>calib_level4_torque.o</c:v>
                </c:pt>
                <c:pt idx="36">
                  <c:v>jm_proto_ops.o</c:v>
                </c:pt>
                <c:pt idx="37">
                  <c:v>stdout.o</c:v>
                </c:pt>
                <c:pt idx="38">
                  <c:v>errno.o</c:v>
                </c:pt>
                <c:pt idx="39">
                  <c:v>system_stm32g4xx.o</c:v>
                </c:pt>
                <c:pt idx="40">
                  <c:v>system_state.o</c:v>
                </c:pt>
                <c:pt idx="41">
                  <c:v>jm_proto_uart.o</c:v>
                </c:pt>
                <c:pt idx="42">
                  <c:v>calib_hw.o</c:v>
                </c:pt>
                <c:pt idx="43">
                  <c:v>app_freertos.o</c:v>
                </c:pt>
                <c:pt idx="44">
                  <c:v>motor_pid_load.o</c:v>
                </c:pt>
                <c:pt idx="45">
                  <c:v>led_manager.o</c:v>
                </c:pt>
                <c:pt idx="159">
                  <c:v>Totals</c:v>
                </c:pt>
              </c:strCache>
            </c:strRef>
          </c:cat>
          <c:val>
            <c:numRef>
              <c:f>ram_percent!$B$3:$B$162</c:f>
              <c:numCache>
                <c:formatCode>General</c:formatCode>
                <c:ptCount val="160"/>
                <c:pt idx="0">
                  <c:v>59.36426544189453</c:v>
                </c:pt>
                <c:pt idx="1">
                  <c:v>7.391602993011475</c:v>
                </c:pt>
                <c:pt idx="2">
                  <c:v>6.046360015869141</c:v>
                </c:pt>
                <c:pt idx="3">
                  <c:v>5.94510555267334</c:v>
                </c:pt>
                <c:pt idx="4">
                  <c:v>3.728347778320313</c:v>
                </c:pt>
                <c:pt idx="5">
                  <c:v>3.703033924102783</c:v>
                </c:pt>
                <c:pt idx="6">
                  <c:v>2.58923077583313</c:v>
                </c:pt>
                <c:pt idx="7">
                  <c:v>1.287382960319519</c:v>
                </c:pt>
                <c:pt idx="8">
                  <c:v>1.229523062705994</c:v>
                </c:pt>
                <c:pt idx="9">
                  <c:v>1.084873199462891</c:v>
                </c:pt>
                <c:pt idx="10">
                  <c:v>0.9546884894371033</c:v>
                </c:pt>
                <c:pt idx="11">
                  <c:v>0.8245036602020264</c:v>
                </c:pt>
                <c:pt idx="12">
                  <c:v>0.810038685798645</c:v>
                </c:pt>
                <c:pt idx="13">
                  <c:v>0.7232488393783569</c:v>
                </c:pt>
                <c:pt idx="14">
                  <c:v>0.4773442447185516</c:v>
                </c:pt>
                <c:pt idx="15">
                  <c:v>0.4628792405128479</c:v>
                </c:pt>
                <c:pt idx="16">
                  <c:v>0.3905543684959412</c:v>
                </c:pt>
                <c:pt idx="17">
                  <c:v>0.3616244196891785</c:v>
                </c:pt>
                <c:pt idx="18">
                  <c:v>0.3037645220756531</c:v>
                </c:pt>
                <c:pt idx="19">
                  <c:v>0.274834543466568</c:v>
                </c:pt>
                <c:pt idx="20">
                  <c:v>0.2603695690631867</c:v>
                </c:pt>
                <c:pt idx="21">
                  <c:v>0.2603695690631867</c:v>
                </c:pt>
                <c:pt idx="22">
                  <c:v>0.2603695690631867</c:v>
                </c:pt>
                <c:pt idx="23">
                  <c:v>0.231439620256424</c:v>
                </c:pt>
                <c:pt idx="24">
                  <c:v>0.1591147482395172</c:v>
                </c:pt>
                <c:pt idx="25">
                  <c:v>0.1446497738361359</c:v>
                </c:pt>
                <c:pt idx="26">
                  <c:v>0.1301847845315933</c:v>
                </c:pt>
                <c:pt idx="27">
                  <c:v>0.08317361772060394</c:v>
                </c:pt>
                <c:pt idx="28">
                  <c:v>0.07232488691806793</c:v>
                </c:pt>
                <c:pt idx="29">
                  <c:v>0.07232488691806793</c:v>
                </c:pt>
                <c:pt idx="30">
                  <c:v>0.04339493066072464</c:v>
                </c:pt>
                <c:pt idx="31">
                  <c:v>0.04339493066072464</c:v>
                </c:pt>
                <c:pt idx="32">
                  <c:v>0.04339493066072464</c:v>
                </c:pt>
                <c:pt idx="33">
                  <c:v>0.04339493066072464</c:v>
                </c:pt>
                <c:pt idx="34">
                  <c:v>0.02892995253205299</c:v>
                </c:pt>
                <c:pt idx="35">
                  <c:v>0.02892995253205299</c:v>
                </c:pt>
                <c:pt idx="36">
                  <c:v>0.02169746533036232</c:v>
                </c:pt>
                <c:pt idx="37">
                  <c:v>0.0144649762660265</c:v>
                </c:pt>
                <c:pt idx="38">
                  <c:v>0.0144649762660265</c:v>
                </c:pt>
                <c:pt idx="39">
                  <c:v>0.0144649762660265</c:v>
                </c:pt>
                <c:pt idx="40">
                  <c:v>0.0144649762660265</c:v>
                </c:pt>
                <c:pt idx="41">
                  <c:v>0.0144649762660265</c:v>
                </c:pt>
                <c:pt idx="42">
                  <c:v>0.0144649762660265</c:v>
                </c:pt>
                <c:pt idx="43">
                  <c:v>0.0144649762660265</c:v>
                </c:pt>
                <c:pt idx="44">
                  <c:v>0.01084873266518116</c:v>
                </c:pt>
                <c:pt idx="45">
                  <c:v>0.007232488133013248</c:v>
                </c:pt>
                <c:pt idx="159">
                  <c:v>0</c:v>
                </c:pt>
              </c:numCache>
            </c:numRef>
          </c:val>
        </c:ser>
        <c:firstSliceAng val="9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file percent in used flash 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piechart_flash</c:v>
          </c:tx>
          <c:cat>
            <c:strRef>
              <c:f>flash_percent!$A$3:$A$162</c:f>
              <c:strCache>
                <c:ptCount val="160"/>
                <c:pt idx="0">
                  <c:v>calib_level2_motor.o</c:v>
                </c:pt>
                <c:pt idx="1">
                  <c:v>stm32g4xx_hal_adc.o</c:v>
                </c:pt>
                <c:pt idx="2">
                  <c:v>stm32g4xx_hal_uart.o</c:v>
                </c:pt>
                <c:pt idx="3">
                  <c:v>jm_proto.o</c:v>
                </c:pt>
                <c:pt idx="4">
                  <c:v>stm32g4xx_hal_tim.o</c:v>
                </c:pt>
                <c:pt idx="5">
                  <c:v>motor_param.o</c:v>
                </c:pt>
                <c:pt idx="6">
                  <c:v>mc_w.l</c:v>
                </c:pt>
                <c:pt idx="7">
                  <c:v>m_wm.l</c:v>
                </c:pt>
                <c:pt idx="8">
                  <c:v>stm32g4xx_hal_adc_ex.o</c:v>
                </c:pt>
                <c:pt idx="9">
                  <c:v>arm_cortexM4lf_math.lib</c:v>
                </c:pt>
                <c:pt idx="10">
                  <c:v>tasks.o</c:v>
                </c:pt>
                <c:pt idx="11">
                  <c:v>jm_proto_ops.o</c:v>
                </c:pt>
                <c:pt idx="12">
                  <c:v>printfa.o</c:v>
                </c:pt>
                <c:pt idx="13">
                  <c:v>arm_common_tables.o</c:v>
                </c:pt>
                <c:pt idx="14">
                  <c:v>stm32g4xx_hal_rcc.o</c:v>
                </c:pt>
                <c:pt idx="15">
                  <c:v>motion_param.o</c:v>
                </c:pt>
                <c:pt idx="16">
                  <c:v>queue.o</c:v>
                </c:pt>
                <c:pt idx="17">
                  <c:v>dev_power_monitor.o</c:v>
                </c:pt>
                <c:pt idx="18">
                  <c:v>stm32g4xx_hal_spi.o</c:v>
                </c:pt>
                <c:pt idx="19">
                  <c:v>mf_w.l</c:v>
                </c:pt>
                <c:pt idx="20">
                  <c:v>foc_core.o</c:v>
                </c:pt>
                <c:pt idx="21">
                  <c:v>dev_motor_phase_current.o</c:v>
                </c:pt>
                <c:pt idx="22">
                  <c:v>ctrl_transition.o</c:v>
                </c:pt>
                <c:pt idx="23">
                  <c:v>motor_loop.o</c:v>
                </c:pt>
                <c:pt idx="24">
                  <c:v>motor_pid_profile.o</c:v>
                </c:pt>
                <c:pt idx="25">
                  <c:v>system_state.o</c:v>
                </c:pt>
                <c:pt idx="26">
                  <c:v>calib_config_runtime.o</c:v>
                </c:pt>
                <c:pt idx="27">
                  <c:v>calib_mgr.o</c:v>
                </c:pt>
                <c:pt idx="28">
                  <c:v>calib_level3_encoder.o</c:v>
                </c:pt>
                <c:pt idx="29">
                  <c:v>stm32g4xx_hal_fdcan.o</c:v>
                </c:pt>
                <c:pt idx="30">
                  <c:v>calib_level5_nonlinear.o</c:v>
                </c:pt>
                <c:pt idx="31">
                  <c:v>stm32g4xx_hal_dma.o</c:v>
                </c:pt>
                <c:pt idx="32">
                  <c:v>multiturn_counter.o</c:v>
                </c:pt>
                <c:pt idx="33">
                  <c:v>dev_commun_uart.o</c:v>
                </c:pt>
                <c:pt idx="34">
                  <c:v>port.o</c:v>
                </c:pt>
                <c:pt idx="35">
                  <c:v>stm32g4xx_hal_rcc_ex.o</c:v>
                </c:pt>
                <c:pt idx="36">
                  <c:v>motor_pid_load.o</c:v>
                </c:pt>
                <c:pt idx="37">
                  <c:v>tim.o</c:v>
                </c:pt>
                <c:pt idx="38">
                  <c:v>stm32g4xx_hal_tim_ex.o</c:v>
                </c:pt>
                <c:pt idx="39">
                  <c:v>foc_decoupling.o</c:v>
                </c:pt>
                <c:pt idx="40">
                  <c:v>jm_host_commun.o</c:v>
                </c:pt>
                <c:pt idx="41">
                  <c:v>atan2f.o</c:v>
                </c:pt>
                <c:pt idx="42">
                  <c:v>dev_mt6835.o</c:v>
                </c:pt>
                <c:pt idx="43">
                  <c:v>cascade_control.o</c:v>
                </c:pt>
                <c:pt idx="44">
                  <c:v>dev_half_bridge.o</c:v>
                </c:pt>
                <c:pt idx="45">
                  <c:v>motor_pid_autotune.o</c:v>
                </c:pt>
                <c:pt idx="46">
                  <c:v>drv_usart.o</c:v>
                </c:pt>
                <c:pt idx="47">
                  <c:v>current_loop.o</c:v>
                </c:pt>
                <c:pt idx="48">
                  <c:v>crc16.o</c:v>
                </c:pt>
                <c:pt idx="49">
                  <c:v>motor_control.o</c:v>
                </c:pt>
                <c:pt idx="50">
                  <c:v>heap_4.o</c:v>
                </c:pt>
                <c:pt idx="51">
                  <c:v>startup_stm32g474xx.o</c:v>
                </c:pt>
                <c:pt idx="52">
                  <c:v>calib_ac_injection.o</c:v>
                </c:pt>
                <c:pt idx="53">
                  <c:v>calib_hw.o</c:v>
                </c:pt>
                <c:pt idx="54">
                  <c:v>packer_parser.o</c:v>
                </c:pt>
                <c:pt idx="55">
                  <c:v>adc.o</c:v>
                </c:pt>
                <c:pt idx="56">
                  <c:v>stm32g4xx_hal_gpio.o</c:v>
                </c:pt>
                <c:pt idx="57">
                  <c:v>ctrl_transition_mgr.o</c:v>
                </c:pt>
                <c:pt idx="58">
                  <c:v>dev_motor.o</c:v>
                </c:pt>
                <c:pt idx="59">
                  <c:v>drv_tim.o</c:v>
                </c:pt>
                <c:pt idx="60">
                  <c:v>calib_level7_auto.o</c:v>
                </c:pt>
                <c:pt idx="61">
                  <c:v>sinf.o</c:v>
                </c:pt>
                <c:pt idx="62">
                  <c:v>dev_led.o</c:v>
                </c:pt>
                <c:pt idx="63">
                  <c:v>rredf.o</c:v>
                </c:pt>
                <c:pt idx="64">
                  <c:v>pid_core.o</c:v>
                </c:pt>
                <c:pt idx="65">
                  <c:v>usart.o</c:v>
                </c:pt>
                <c:pt idx="66">
                  <c:v>cosf.o</c:v>
                </c:pt>
                <c:pt idx="67">
                  <c:v>dadd.o</c:v>
                </c:pt>
                <c:pt idx="68">
                  <c:v>spi.o</c:v>
                </c:pt>
                <c:pt idx="69">
                  <c:v>led_manager.o</c:v>
                </c:pt>
                <c:pt idx="70">
                  <c:v>cmsis_os.o</c:v>
                </c:pt>
                <c:pt idx="71">
                  <c:v>dev_config.o</c:v>
                </c:pt>
                <c:pt idx="72">
                  <c:v>stm32g4xx_hal_uart_ex.o</c:v>
                </c:pt>
                <c:pt idx="73">
                  <c:v>dev_encoder_mt6835.o</c:v>
                </c:pt>
                <c:pt idx="74">
                  <c:v>jm_proto_uart.o</c:v>
                </c:pt>
                <c:pt idx="75">
                  <c:v>gpio.o</c:v>
                </c:pt>
                <c:pt idx="76">
                  <c:v>i2c.o</c:v>
                </c:pt>
                <c:pt idx="77">
                  <c:v>drv_rtos.o</c:v>
                </c:pt>
                <c:pt idx="78">
                  <c:v>main.o</c:v>
                </c:pt>
                <c:pt idx="79">
                  <c:v>drv_gpio.o</c:v>
                </c:pt>
                <c:pt idx="80">
                  <c:v>dmul.o</c:v>
                </c:pt>
                <c:pt idx="81">
                  <c:v>drv_adc.o</c:v>
                </c:pt>
                <c:pt idx="82">
                  <c:v>ddiv.o</c:v>
                </c:pt>
                <c:pt idx="83">
                  <c:v>stm32g4xx_hal_pwr_ex.o</c:v>
                </c:pt>
                <c:pt idx="84">
                  <c:v>fdcan.o</c:v>
                </c:pt>
                <c:pt idx="85">
                  <c:v>drv_spi.o</c:v>
                </c:pt>
                <c:pt idx="86">
                  <c:v>stm32g4xx_hal_i2c.o</c:v>
                </c:pt>
                <c:pt idx="87">
                  <c:v>thread_management.o</c:v>
                </c:pt>
                <c:pt idx="88">
                  <c:v>depilogue.o</c:v>
                </c:pt>
                <c:pt idx="89">
                  <c:v>fmodf.o</c:v>
                </c:pt>
                <c:pt idx="90">
                  <c:v>stm32g4xx_it.o</c:v>
                </c:pt>
                <c:pt idx="91">
                  <c:v>stm32g4xx_hal_i2c_ex.o</c:v>
                </c:pt>
                <c:pt idx="92">
                  <c:v>calib_level1_driver.o</c:v>
                </c:pt>
                <c:pt idx="93">
                  <c:v>motor_profile.o</c:v>
                </c:pt>
                <c:pt idx="94">
                  <c:v>stm32g4xx_hal_cortex.o</c:v>
                </c:pt>
                <c:pt idx="95">
                  <c:v>roundf.o</c:v>
                </c:pt>
                <c:pt idx="96">
                  <c:v>arm_cos_f32.o</c:v>
                </c:pt>
                <c:pt idx="97">
                  <c:v>arm_sin_f32.o</c:v>
                </c:pt>
                <c:pt idx="98">
                  <c:v>motor_mode_velocity.o</c:v>
                </c:pt>
                <c:pt idx="99">
                  <c:v>list.o</c:v>
                </c:pt>
                <c:pt idx="100">
                  <c:v>stm32g4xx_hal_timebase_tim.o</c:v>
                </c:pt>
                <c:pt idx="101">
                  <c:v>motor_mode_mit.o</c:v>
                </c:pt>
                <c:pt idx="102">
                  <c:v>calib_level6_system.o</c:v>
                </c:pt>
                <c:pt idx="103">
                  <c:v>thread_period.o</c:v>
                </c:pt>
                <c:pt idx="104">
                  <c:v>dev_dwt_counter.o</c:v>
                </c:pt>
                <c:pt idx="105">
                  <c:v>motor_mode_open_loop.o</c:v>
                </c:pt>
                <c:pt idx="106">
                  <c:v>motor_mode_position.o</c:v>
                </c:pt>
                <c:pt idx="107">
                  <c:v>motor_mode_current.o</c:v>
                </c:pt>
                <c:pt idx="108">
                  <c:v>floorf.o</c:v>
                </c:pt>
                <c:pt idx="109">
                  <c:v>fepilogue.o</c:v>
                </c:pt>
                <c:pt idx="110">
                  <c:v>stm32g4xx_hal.o</c:v>
                </c:pt>
                <c:pt idx="111">
                  <c:v>uldiv.o</c:v>
                </c:pt>
                <c:pt idx="112">
                  <c:v>ldiv.o</c:v>
                </c:pt>
                <c:pt idx="113">
                  <c:v>user_interface.o</c:v>
                </c:pt>
                <c:pt idx="114">
                  <c:v>motor_mode_test_sweep.o</c:v>
                </c:pt>
                <c:pt idx="115">
                  <c:v>motor_mode_torque.o</c:v>
                </c:pt>
                <c:pt idx="116">
                  <c:v>motor_mode_profile_torque.o</c:v>
                </c:pt>
                <c:pt idx="117">
                  <c:v>__dczerorl2.o</c:v>
                </c:pt>
                <c:pt idx="118">
                  <c:v>assert_report.o</c:v>
                </c:pt>
                <c:pt idx="119">
                  <c:v>app_freertos.o</c:v>
                </c:pt>
                <c:pt idx="120">
                  <c:v>frem.o</c:v>
                </c:pt>
                <c:pt idx="121">
                  <c:v>motor_mode_profile_velocity.o</c:v>
                </c:pt>
                <c:pt idx="122">
                  <c:v>dma.o</c:v>
                </c:pt>
                <c:pt idx="123">
                  <c:v>cordic.o</c:v>
                </c:pt>
                <c:pt idx="124">
                  <c:v>motor_mode_duty.o</c:v>
                </c:pt>
                <c:pt idx="125">
                  <c:v>frnd.o</c:v>
                </c:pt>
                <c:pt idx="126">
                  <c:v>stm32g4xx_hal_msp.o</c:v>
                </c:pt>
                <c:pt idx="127">
                  <c:v>sqrtf.o</c:v>
                </c:pt>
                <c:pt idx="128">
                  <c:v>stm32g4xx_hal_cordic.o</c:v>
                </c:pt>
                <c:pt idx="129">
                  <c:v>calib_level4_torque.o</c:v>
                </c:pt>
                <c:pt idx="130">
                  <c:v>control_irq.o</c:v>
                </c:pt>
                <c:pt idx="131">
                  <c:v>dfixul.o</c:v>
                </c:pt>
                <c:pt idx="132">
                  <c:v>cdrcmple.o</c:v>
                </c:pt>
                <c:pt idx="133">
                  <c:v>drv_dwt_timer.o</c:v>
                </c:pt>
                <c:pt idx="134">
                  <c:v>uidiv.o</c:v>
                </c:pt>
                <c:pt idx="135">
                  <c:v>funder.o</c:v>
                </c:pt>
                <c:pt idx="136">
                  <c:v>system_stm32g4xx.o</c:v>
                </c:pt>
                <c:pt idx="137">
                  <c:v>motor_mode_idle.o</c:v>
                </c:pt>
                <c:pt idx="138">
                  <c:v>motor_mode_hold.o</c:v>
                </c:pt>
                <c:pt idx="139">
                  <c:v>fpclassifyf.o</c:v>
                </c:pt>
                <c:pt idx="140">
                  <c:v>memseta.o</c:v>
                </c:pt>
                <c:pt idx="141">
                  <c:v>memcpya.o</c:v>
                </c:pt>
                <c:pt idx="142">
                  <c:v>llsshr.o</c:v>
                </c:pt>
                <c:pt idx="143">
                  <c:v>init.o</c:v>
                </c:pt>
                <c:pt idx="144">
                  <c:v>thread_commun.o</c:v>
                </c:pt>
                <c:pt idx="145">
                  <c:v>llushr.o</c:v>
                </c:pt>
                <c:pt idx="146">
                  <c:v>thread_idle.o</c:v>
                </c:pt>
                <c:pt idx="147">
                  <c:v>thread_display.o</c:v>
                </c:pt>
                <c:pt idx="148">
                  <c:v>thread_control.o</c:v>
                </c:pt>
                <c:pt idx="149">
                  <c:v>motor_info_calib.o</c:v>
                </c:pt>
                <c:pt idx="150">
                  <c:v>llshl.o</c:v>
                </c:pt>
                <c:pt idx="151">
                  <c:v>handlers.o</c:v>
                </c:pt>
                <c:pt idx="152">
                  <c:v>strncpy.o</c:v>
                </c:pt>
                <c:pt idx="153">
                  <c:v>errno.o</c:v>
                </c:pt>
                <c:pt idx="154">
                  <c:v>entry9a.o</c:v>
                </c:pt>
                <c:pt idx="155">
                  <c:v>entry2.o</c:v>
                </c:pt>
                <c:pt idx="156">
                  <c:v>stdout.o</c:v>
                </c:pt>
                <c:pt idx="157">
                  <c:v>entry5.o</c:v>
                </c:pt>
                <c:pt idx="158">
                  <c:v>entry12b.o</c:v>
                </c:pt>
                <c:pt idx="159">
                  <c:v>Totals</c:v>
                </c:pt>
              </c:strCache>
            </c:strRef>
          </c:cat>
          <c:val>
            <c:numRef>
              <c:f>flash_percent!$B$3:$B$162</c:f>
              <c:numCache>
                <c:formatCode>General</c:formatCode>
                <c:ptCount val="160"/>
                <c:pt idx="0">
                  <c:v>4.649857997894287</c:v>
                </c:pt>
                <c:pt idx="1">
                  <c:v>3.646524429321289</c:v>
                </c:pt>
                <c:pt idx="2">
                  <c:v>3.575320243835449</c:v>
                </c:pt>
                <c:pt idx="3">
                  <c:v>3.510588884353638</c:v>
                </c:pt>
                <c:pt idx="4">
                  <c:v>3.441542387008667</c:v>
                </c:pt>
                <c:pt idx="5">
                  <c:v>3.0876784324646</c:v>
                </c:pt>
                <c:pt idx="6">
                  <c:v>3.072574377059937</c:v>
                </c:pt>
                <c:pt idx="7">
                  <c:v>2.561197996139526</c:v>
                </c:pt>
                <c:pt idx="8">
                  <c:v>2.537463188171387</c:v>
                </c:pt>
                <c:pt idx="9">
                  <c:v>2.533147811889648</c:v>
                </c:pt>
                <c:pt idx="10">
                  <c:v>2.52883243560791</c:v>
                </c:pt>
                <c:pt idx="11">
                  <c:v>2.446839570999146</c:v>
                </c:pt>
                <c:pt idx="12">
                  <c:v>2.392896890640259</c:v>
                </c:pt>
                <c:pt idx="13">
                  <c:v>2.213807106018066</c:v>
                </c:pt>
                <c:pt idx="14">
                  <c:v>2.049821376800537</c:v>
                </c:pt>
                <c:pt idx="15">
                  <c:v>1.948409199714661</c:v>
                </c:pt>
                <c:pt idx="16">
                  <c:v>1.734796285629273</c:v>
                </c:pt>
                <c:pt idx="17">
                  <c:v>1.622595548629761</c:v>
                </c:pt>
                <c:pt idx="18">
                  <c:v>1.503921627998352</c:v>
                </c:pt>
                <c:pt idx="19">
                  <c:v>1.421928763389587</c:v>
                </c:pt>
                <c:pt idx="20">
                  <c:v>1.374459266662598</c:v>
                </c:pt>
                <c:pt idx="21">
                  <c:v>1.316201090812683</c:v>
                </c:pt>
                <c:pt idx="22">
                  <c:v>1.294624090194702</c:v>
                </c:pt>
                <c:pt idx="23">
                  <c:v>1.251469969749451</c:v>
                </c:pt>
                <c:pt idx="24">
                  <c:v>1.171634793281555</c:v>
                </c:pt>
                <c:pt idx="25">
                  <c:v>1.165161609649658</c:v>
                </c:pt>
                <c:pt idx="26">
                  <c:v>1.143584609031677</c:v>
                </c:pt>
                <c:pt idx="27">
                  <c:v>1.109061241149902</c:v>
                </c:pt>
                <c:pt idx="28">
                  <c:v>1.085326552391052</c:v>
                </c:pt>
                <c:pt idx="29">
                  <c:v>1.063749432563782</c:v>
                </c:pt>
                <c:pt idx="30">
                  <c:v>1.055118560791016</c:v>
                </c:pt>
                <c:pt idx="31">
                  <c:v>1.031383872032166</c:v>
                </c:pt>
                <c:pt idx="32">
                  <c:v>0.8976060152053833</c:v>
                </c:pt>
                <c:pt idx="33">
                  <c:v>0.8846597671508789</c:v>
                </c:pt>
                <c:pt idx="34">
                  <c:v>0.860925018787384</c:v>
                </c:pt>
                <c:pt idx="35">
                  <c:v>0.8458210825920105</c:v>
                </c:pt>
                <c:pt idx="36">
                  <c:v>0.8317959904670715</c:v>
                </c:pt>
                <c:pt idx="37">
                  <c:v>0.8156131505966187</c:v>
                </c:pt>
                <c:pt idx="38">
                  <c:v>0.7767744660377502</c:v>
                </c:pt>
                <c:pt idx="39">
                  <c:v>0.7703013420104981</c:v>
                </c:pt>
                <c:pt idx="40">
                  <c:v>0.7487242817878723</c:v>
                </c:pt>
                <c:pt idx="41">
                  <c:v>0.7379357218742371</c:v>
                </c:pt>
                <c:pt idx="42">
                  <c:v>0.7293049097061157</c:v>
                </c:pt>
                <c:pt idx="43">
                  <c:v>0.7185163497924805</c:v>
                </c:pt>
                <c:pt idx="44">
                  <c:v>0.6947816014289856</c:v>
                </c:pt>
                <c:pt idx="45">
                  <c:v>0.6839930415153503</c:v>
                </c:pt>
                <c:pt idx="46">
                  <c:v>0.6688891053199768</c:v>
                </c:pt>
                <c:pt idx="47">
                  <c:v>0.6343657970428467</c:v>
                </c:pt>
                <c:pt idx="48">
                  <c:v>0.5998424887657166</c:v>
                </c:pt>
                <c:pt idx="49">
                  <c:v>0.5782654285430908</c:v>
                </c:pt>
                <c:pt idx="50">
                  <c:v>0.552372932434082</c:v>
                </c:pt>
                <c:pt idx="51">
                  <c:v>0.548057496547699</c:v>
                </c:pt>
                <c:pt idx="52">
                  <c:v>0.5437421202659607</c:v>
                </c:pt>
                <c:pt idx="53">
                  <c:v>0.5415844321250916</c:v>
                </c:pt>
                <c:pt idx="54">
                  <c:v>0.5372689962387085</c:v>
                </c:pt>
                <c:pt idx="55">
                  <c:v>0.5307958722114563</c:v>
                </c:pt>
                <c:pt idx="56">
                  <c:v>0.5049033761024475</c:v>
                </c:pt>
                <c:pt idx="57">
                  <c:v>0.4811686277389526</c:v>
                </c:pt>
                <c:pt idx="58">
                  <c:v>0.4693012237548828</c:v>
                </c:pt>
                <c:pt idx="59">
                  <c:v>0.4423298835754395</c:v>
                </c:pt>
                <c:pt idx="60">
                  <c:v>0.4401721954345703</c:v>
                </c:pt>
                <c:pt idx="61">
                  <c:v>0.4315413534641266</c:v>
                </c:pt>
                <c:pt idx="62">
                  <c:v>0.4315413534641266</c:v>
                </c:pt>
                <c:pt idx="63">
                  <c:v>0.4013334512710571</c:v>
                </c:pt>
                <c:pt idx="64">
                  <c:v>0.3948603570461273</c:v>
                </c:pt>
                <c:pt idx="65">
                  <c:v>0.3711255788803101</c:v>
                </c:pt>
                <c:pt idx="66">
                  <c:v>0.3624947369098663</c:v>
                </c:pt>
                <c:pt idx="67">
                  <c:v>0.3603370189666748</c:v>
                </c:pt>
                <c:pt idx="68">
                  <c:v>0.3581793308258057</c:v>
                </c:pt>
                <c:pt idx="69">
                  <c:v>0.353863924741745</c:v>
                </c:pt>
                <c:pt idx="70">
                  <c:v>0.3495484888553619</c:v>
                </c:pt>
                <c:pt idx="71">
                  <c:v>0.3441542387008667</c:v>
                </c:pt>
                <c:pt idx="72">
                  <c:v>0.3322868347167969</c:v>
                </c:pt>
                <c:pt idx="73">
                  <c:v>0.3085520565509796</c:v>
                </c:pt>
                <c:pt idx="74">
                  <c:v>0.2934481203556061</c:v>
                </c:pt>
                <c:pt idx="75">
                  <c:v>0.2934481203556061</c:v>
                </c:pt>
                <c:pt idx="76">
                  <c:v>0.2718710601329804</c:v>
                </c:pt>
                <c:pt idx="77">
                  <c:v>0.2610825300216675</c:v>
                </c:pt>
                <c:pt idx="78">
                  <c:v>0.2524516880512238</c:v>
                </c:pt>
                <c:pt idx="79">
                  <c:v>0.2502939999103546</c:v>
                </c:pt>
                <c:pt idx="80">
                  <c:v>0.2459785789251328</c:v>
                </c:pt>
                <c:pt idx="81">
                  <c:v>0.2438208609819412</c:v>
                </c:pt>
                <c:pt idx="82">
                  <c:v>0.2395054548978806</c:v>
                </c:pt>
                <c:pt idx="83">
                  <c:v>0.2373477518558502</c:v>
                </c:pt>
                <c:pt idx="84">
                  <c:v>0.2373477518558502</c:v>
                </c:pt>
                <c:pt idx="85">
                  <c:v>0.2373477518558502</c:v>
                </c:pt>
                <c:pt idx="86">
                  <c:v>0.2200860977172852</c:v>
                </c:pt>
                <c:pt idx="87">
                  <c:v>0.2071398496627808</c:v>
                </c:pt>
                <c:pt idx="88">
                  <c:v>0.2006667256355286</c:v>
                </c:pt>
                <c:pt idx="89">
                  <c:v>0.1898781955242157</c:v>
                </c:pt>
                <c:pt idx="90">
                  <c:v>0.1898781955242157</c:v>
                </c:pt>
                <c:pt idx="91">
                  <c:v>0.1898781955242157</c:v>
                </c:pt>
                <c:pt idx="92">
                  <c:v>0.185562789440155</c:v>
                </c:pt>
                <c:pt idx="93">
                  <c:v>0.1726165413856506</c:v>
                </c:pt>
                <c:pt idx="94">
                  <c:v>0.1704588383436203</c:v>
                </c:pt>
                <c:pt idx="95">
                  <c:v>0.1661434173583984</c:v>
                </c:pt>
                <c:pt idx="96">
                  <c:v>0.1639857143163681</c:v>
                </c:pt>
                <c:pt idx="97">
                  <c:v>0.1553548872470856</c:v>
                </c:pt>
                <c:pt idx="98">
                  <c:v>0.1531971842050552</c:v>
                </c:pt>
                <c:pt idx="99">
                  <c:v>0.1488817632198334</c:v>
                </c:pt>
                <c:pt idx="100">
                  <c:v>0.146724060177803</c:v>
                </c:pt>
                <c:pt idx="101">
                  <c:v>0.1424086540937424</c:v>
                </c:pt>
                <c:pt idx="102">
                  <c:v>0.1359355300664902</c:v>
                </c:pt>
                <c:pt idx="103">
                  <c:v>0.129462406039238</c:v>
                </c:pt>
                <c:pt idx="104">
                  <c:v>0.129462406039238</c:v>
                </c:pt>
                <c:pt idx="105">
                  <c:v>0.1273047029972076</c:v>
                </c:pt>
                <c:pt idx="106">
                  <c:v>0.1251469999551773</c:v>
                </c:pt>
                <c:pt idx="107">
                  <c:v>0.1251469999551773</c:v>
                </c:pt>
                <c:pt idx="108">
                  <c:v>0.1208315789699554</c:v>
                </c:pt>
                <c:pt idx="109">
                  <c:v>0.1186738759279251</c:v>
                </c:pt>
                <c:pt idx="110">
                  <c:v>0.1143584623932838</c:v>
                </c:pt>
                <c:pt idx="111">
                  <c:v>0.1057276353240013</c:v>
                </c:pt>
                <c:pt idx="112">
                  <c:v>0.1057276353240013</c:v>
                </c:pt>
                <c:pt idx="113">
                  <c:v>0.1057276353240013</c:v>
                </c:pt>
                <c:pt idx="114">
                  <c:v>0.09925451129674912</c:v>
                </c:pt>
                <c:pt idx="115">
                  <c:v>0.09493909776210785</c:v>
                </c:pt>
                <c:pt idx="116">
                  <c:v>0.09493909776210785</c:v>
                </c:pt>
                <c:pt idx="117">
                  <c:v>0.09278139472007752</c:v>
                </c:pt>
                <c:pt idx="118">
                  <c:v>0.09062368422746658</c:v>
                </c:pt>
                <c:pt idx="119">
                  <c:v>0.09062368422746658</c:v>
                </c:pt>
                <c:pt idx="120">
                  <c:v>0.08846598118543625</c:v>
                </c:pt>
                <c:pt idx="121">
                  <c:v>0.08846598118543625</c:v>
                </c:pt>
                <c:pt idx="122">
                  <c:v>0.08199285715818405</c:v>
                </c:pt>
                <c:pt idx="123">
                  <c:v>0.08199285715818405</c:v>
                </c:pt>
                <c:pt idx="124">
                  <c:v>0.07120432704687119</c:v>
                </c:pt>
                <c:pt idx="125">
                  <c:v>0.06473120301961899</c:v>
                </c:pt>
                <c:pt idx="126">
                  <c:v>0.06473120301961899</c:v>
                </c:pt>
                <c:pt idx="127">
                  <c:v>0.06257349997758865</c:v>
                </c:pt>
                <c:pt idx="128">
                  <c:v>0.05825808271765709</c:v>
                </c:pt>
                <c:pt idx="129">
                  <c:v>0.05825808271765709</c:v>
                </c:pt>
                <c:pt idx="130">
                  <c:v>0.05610037595033646</c:v>
                </c:pt>
                <c:pt idx="131">
                  <c:v>0.05178496241569519</c:v>
                </c:pt>
                <c:pt idx="132">
                  <c:v>0.05178496241569519</c:v>
                </c:pt>
                <c:pt idx="133">
                  <c:v>0.05178496241569519</c:v>
                </c:pt>
                <c:pt idx="134">
                  <c:v>0.04746954888105393</c:v>
                </c:pt>
                <c:pt idx="135">
                  <c:v>0.04746954888105393</c:v>
                </c:pt>
                <c:pt idx="136">
                  <c:v>0.04746954888105393</c:v>
                </c:pt>
                <c:pt idx="137">
                  <c:v>0.04746954888105393</c:v>
                </c:pt>
                <c:pt idx="138">
                  <c:v>0.04746954888105393</c:v>
                </c:pt>
                <c:pt idx="139">
                  <c:v>0.04099642857909203</c:v>
                </c:pt>
                <c:pt idx="140">
                  <c:v>0.03883872181177139</c:v>
                </c:pt>
                <c:pt idx="141">
                  <c:v>0.03883872181177139</c:v>
                </c:pt>
                <c:pt idx="142">
                  <c:v>0.03883872181177139</c:v>
                </c:pt>
                <c:pt idx="143">
                  <c:v>0.03883872181177139</c:v>
                </c:pt>
                <c:pt idx="144">
                  <c:v>0.03883872181177139</c:v>
                </c:pt>
                <c:pt idx="145">
                  <c:v>0.03452330827713013</c:v>
                </c:pt>
                <c:pt idx="146">
                  <c:v>0.03452330827713013</c:v>
                </c:pt>
                <c:pt idx="147">
                  <c:v>0.03452330827713013</c:v>
                </c:pt>
                <c:pt idx="148">
                  <c:v>0.03452330827713013</c:v>
                </c:pt>
                <c:pt idx="149">
                  <c:v>0.03452330827713013</c:v>
                </c:pt>
                <c:pt idx="150">
                  <c:v>0.03236560150980949</c:v>
                </c:pt>
                <c:pt idx="151">
                  <c:v>0.03236560150980949</c:v>
                </c:pt>
                <c:pt idx="152">
                  <c:v>0.0258924812078476</c:v>
                </c:pt>
                <c:pt idx="153">
                  <c:v>0.01726165413856506</c:v>
                </c:pt>
                <c:pt idx="154">
                  <c:v>0.008630827069282532</c:v>
                </c:pt>
                <c:pt idx="155">
                  <c:v>0.008630827069282532</c:v>
                </c:pt>
                <c:pt idx="156">
                  <c:v>0.004315413534641266</c:v>
                </c:pt>
                <c:pt idx="157">
                  <c:v>0.004315413534641266</c:v>
                </c:pt>
                <c:pt idx="158">
                  <c:v>0.004315413534641266</c:v>
                </c:pt>
                <c:pt idx="159">
                  <c:v>0</c:v>
                </c:pt>
              </c:numCache>
            </c:numRef>
          </c:val>
        </c:ser>
        <c:firstSliceAng val="9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</xdr:row>
      <xdr:rowOff>0</xdr:rowOff>
    </xdr:from>
    <xdr:to>
      <xdr:col>15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</xdr:row>
      <xdr:rowOff>0</xdr:rowOff>
    </xdr:from>
    <xdr:to>
      <xdr:col>15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1" displayName="Table1" ref="A2:H162" totalsRowCount="1">
  <autoFilter ref="A2:H161"/>
  <tableColumns count="8">
    <tableColumn id="1" name="File_name" totalsRowLabel="Totals"/>
    <tableColumn id="2" name="ram_percent" totalsRowFunction="sum"/>
    <tableColumn id="3" name="ram" totalsRowFunction="sum"/>
    <tableColumn id="4" name="flash" totalsRowFunction="sum"/>
    <tableColumn id="5" name="Code" totalsRowFunction="sum"/>
    <tableColumn id="6" name="RO_data" totalsRowFunction="sum"/>
    <tableColumn id="7" name="RW_data" totalsRowFunction="sum"/>
    <tableColumn id="8" name="ZI_data" totalsRowFunction="sum"/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2:H162" totalsRowCount="1">
  <autoFilter ref="A2:H161"/>
  <tableColumns count="8">
    <tableColumn id="1" name="File_name" totalsRowLabel="Totals"/>
    <tableColumn id="2" name="flash_percent" totalsRowFunction="sum"/>
    <tableColumn id="3" name="flash" totalsRowFunction="sum"/>
    <tableColumn id="4" name="ram" totalsRowFunction="sum"/>
    <tableColumn id="5" name="Code" totalsRowFunction="sum"/>
    <tableColumn id="6" name="RO_data" totalsRowFunction="sum"/>
    <tableColumn id="7" name="RW_data" totalsRowFunction="sum"/>
    <tableColumn id="8" name="ZI_data" totalsRowFunction="sum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62"/>
  <sheetViews>
    <sheetView tabSelected="1" workbookViewId="0"/>
  </sheetViews>
  <sheetFormatPr defaultRowHeight="15"/>
  <cols>
    <col min="1" max="8" width="16.7109375" customWidth="1"/>
  </cols>
  <sheetData>
    <row r="1" spans="1:8">
      <c r="A1" t="s">
        <v>0</v>
      </c>
    </row>
    <row r="2" spans="1:8">
      <c r="A2" t="s">
        <v>161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</row>
    <row r="3" spans="1:8">
      <c r="A3" s="1" t="s">
        <v>1</v>
      </c>
      <c r="B3" s="2">
        <v>59.36426544189453</v>
      </c>
      <c r="C3" s="1">
        <v>16416</v>
      </c>
      <c r="D3" s="1">
        <v>512</v>
      </c>
      <c r="E3" s="1">
        <v>480</v>
      </c>
      <c r="F3" s="1">
        <v>0</v>
      </c>
      <c r="G3" s="1">
        <v>32</v>
      </c>
      <c r="H3" s="1">
        <v>16384</v>
      </c>
    </row>
    <row r="4" spans="1:8">
      <c r="A4" s="1" t="s">
        <v>2</v>
      </c>
      <c r="B4" s="2">
        <v>7.391602993011475</v>
      </c>
      <c r="C4" s="1">
        <v>2044</v>
      </c>
      <c r="D4" s="1">
        <v>620</v>
      </c>
      <c r="E4" s="1">
        <v>564</v>
      </c>
      <c r="F4" s="1">
        <v>56</v>
      </c>
      <c r="G4" s="1">
        <v>0</v>
      </c>
      <c r="H4" s="1">
        <v>2044</v>
      </c>
    </row>
    <row r="5" spans="1:8">
      <c r="A5" s="1" t="s">
        <v>3</v>
      </c>
      <c r="B5" s="2">
        <v>6.046360015869141</v>
      </c>
      <c r="C5" s="1">
        <v>1672</v>
      </c>
      <c r="D5" s="1">
        <v>1160</v>
      </c>
      <c r="E5" s="1">
        <v>1160</v>
      </c>
      <c r="F5" s="1">
        <v>0</v>
      </c>
      <c r="G5" s="1">
        <v>0</v>
      </c>
      <c r="H5" s="1">
        <v>1672</v>
      </c>
    </row>
    <row r="6" spans="1:8">
      <c r="A6" s="1" t="s">
        <v>4</v>
      </c>
      <c r="B6" s="2">
        <v>5.94510555267334</v>
      </c>
      <c r="C6" s="1">
        <v>1644</v>
      </c>
      <c r="D6" s="1">
        <v>820</v>
      </c>
      <c r="E6" s="1">
        <v>816</v>
      </c>
      <c r="F6" s="1">
        <v>0</v>
      </c>
      <c r="G6" s="1">
        <v>4</v>
      </c>
      <c r="H6" s="1">
        <v>1640</v>
      </c>
    </row>
    <row r="7" spans="1:8">
      <c r="A7" s="1" t="s">
        <v>5</v>
      </c>
      <c r="B7" s="2">
        <v>3.728347778320313</v>
      </c>
      <c r="C7" s="1">
        <v>1031</v>
      </c>
      <c r="D7" s="1">
        <v>498</v>
      </c>
      <c r="E7" s="1">
        <v>498</v>
      </c>
      <c r="F7" s="1">
        <v>0</v>
      </c>
      <c r="G7" s="1">
        <v>0</v>
      </c>
      <c r="H7" s="1">
        <v>1031</v>
      </c>
    </row>
    <row r="8" spans="1:8">
      <c r="A8" s="1" t="s">
        <v>6</v>
      </c>
      <c r="B8" s="2">
        <v>3.703033924102783</v>
      </c>
      <c r="C8" s="1">
        <v>1024</v>
      </c>
      <c r="D8" s="1">
        <v>508</v>
      </c>
      <c r="E8" s="1">
        <v>36</v>
      </c>
      <c r="F8" s="1">
        <v>472</v>
      </c>
      <c r="G8" s="1">
        <v>0</v>
      </c>
      <c r="H8" s="1">
        <v>1024</v>
      </c>
    </row>
    <row r="9" spans="1:8">
      <c r="A9" s="1" t="s">
        <v>7</v>
      </c>
      <c r="B9" s="2">
        <v>2.58923077583313</v>
      </c>
      <c r="C9" s="1">
        <v>716</v>
      </c>
      <c r="D9" s="1">
        <v>0</v>
      </c>
      <c r="E9" s="1">
        <v>0</v>
      </c>
      <c r="F9" s="1">
        <v>0</v>
      </c>
      <c r="G9" s="1">
        <v>0</v>
      </c>
      <c r="H9" s="1">
        <v>716</v>
      </c>
    </row>
    <row r="10" spans="1:8">
      <c r="A10" s="1" t="s">
        <v>8</v>
      </c>
      <c r="B10" s="2">
        <v>1.287382960319519</v>
      </c>
      <c r="C10" s="1">
        <v>356</v>
      </c>
      <c r="D10" s="1">
        <v>1086</v>
      </c>
      <c r="E10" s="1">
        <v>730</v>
      </c>
      <c r="F10" s="1">
        <v>352</v>
      </c>
      <c r="G10" s="1">
        <v>4</v>
      </c>
      <c r="H10" s="1">
        <v>352</v>
      </c>
    </row>
    <row r="11" spans="1:8">
      <c r="A11" s="1" t="s">
        <v>9</v>
      </c>
      <c r="B11" s="2">
        <v>1.229523062705994</v>
      </c>
      <c r="C11" s="1">
        <v>340</v>
      </c>
      <c r="D11" s="1">
        <v>344</v>
      </c>
      <c r="E11" s="1">
        <v>344</v>
      </c>
      <c r="F11" s="1">
        <v>0</v>
      </c>
      <c r="G11" s="1">
        <v>0</v>
      </c>
      <c r="H11" s="1">
        <v>340</v>
      </c>
    </row>
    <row r="12" spans="1:8">
      <c r="A12" s="1" t="s">
        <v>10</v>
      </c>
      <c r="B12" s="2">
        <v>1.084873199462891</v>
      </c>
      <c r="C12" s="1">
        <v>300</v>
      </c>
      <c r="D12" s="1">
        <v>2344</v>
      </c>
      <c r="E12" s="1">
        <v>2284</v>
      </c>
      <c r="F12" s="1">
        <v>0</v>
      </c>
      <c r="G12" s="1">
        <v>60</v>
      </c>
      <c r="H12" s="1">
        <v>240</v>
      </c>
    </row>
    <row r="13" spans="1:8">
      <c r="A13" s="1" t="s">
        <v>11</v>
      </c>
      <c r="B13" s="2">
        <v>0.9546884894371033</v>
      </c>
      <c r="C13" s="1">
        <v>264</v>
      </c>
      <c r="D13" s="1">
        <v>1504</v>
      </c>
      <c r="E13" s="1">
        <v>1504</v>
      </c>
      <c r="F13" s="1">
        <v>0</v>
      </c>
      <c r="G13" s="1">
        <v>0</v>
      </c>
      <c r="H13" s="1">
        <v>264</v>
      </c>
    </row>
    <row r="14" spans="1:8">
      <c r="A14" s="1" t="s">
        <v>12</v>
      </c>
      <c r="B14" s="2">
        <v>0.8245036602020264</v>
      </c>
      <c r="C14" s="1">
        <v>228</v>
      </c>
      <c r="D14" s="1">
        <v>756</v>
      </c>
      <c r="E14" s="1">
        <v>756</v>
      </c>
      <c r="F14" s="1">
        <v>0</v>
      </c>
      <c r="G14" s="1">
        <v>0</v>
      </c>
      <c r="H14" s="1">
        <v>228</v>
      </c>
    </row>
    <row r="15" spans="1:8">
      <c r="A15" s="1" t="s">
        <v>13</v>
      </c>
      <c r="B15" s="2">
        <v>0.810038685798645</v>
      </c>
      <c r="C15" s="1">
        <v>224</v>
      </c>
      <c r="D15" s="1">
        <v>242</v>
      </c>
      <c r="E15" s="1">
        <v>242</v>
      </c>
      <c r="F15" s="1">
        <v>0</v>
      </c>
      <c r="G15" s="1">
        <v>0</v>
      </c>
      <c r="H15" s="1">
        <v>224</v>
      </c>
    </row>
    <row r="16" spans="1:8">
      <c r="A16" s="1" t="s">
        <v>14</v>
      </c>
      <c r="B16" s="2">
        <v>0.7232488393783569</v>
      </c>
      <c r="C16" s="1">
        <v>200</v>
      </c>
      <c r="D16" s="1">
        <v>332</v>
      </c>
      <c r="E16" s="1">
        <v>332</v>
      </c>
      <c r="F16" s="1">
        <v>0</v>
      </c>
      <c r="G16" s="1">
        <v>0</v>
      </c>
      <c r="H16" s="1">
        <v>200</v>
      </c>
    </row>
    <row r="17" spans="1:8">
      <c r="A17" s="1" t="s">
        <v>15</v>
      </c>
      <c r="B17" s="2">
        <v>0.4773442447185516</v>
      </c>
      <c r="C17" s="1">
        <v>132</v>
      </c>
      <c r="D17" s="1">
        <v>4310</v>
      </c>
      <c r="E17" s="1">
        <v>4298</v>
      </c>
      <c r="F17" s="1">
        <v>12</v>
      </c>
      <c r="G17" s="1">
        <v>0</v>
      </c>
      <c r="H17" s="1">
        <v>132</v>
      </c>
    </row>
    <row r="18" spans="1:8">
      <c r="A18" s="1" t="s">
        <v>16</v>
      </c>
      <c r="B18" s="2">
        <v>0.4628792405128479</v>
      </c>
      <c r="C18" s="1">
        <v>128</v>
      </c>
      <c r="D18" s="1">
        <v>120</v>
      </c>
      <c r="E18" s="1">
        <v>120</v>
      </c>
      <c r="F18" s="1">
        <v>0</v>
      </c>
      <c r="G18" s="1">
        <v>0</v>
      </c>
      <c r="H18" s="1">
        <v>128</v>
      </c>
    </row>
    <row r="19" spans="1:8">
      <c r="A19" s="1" t="s">
        <v>17</v>
      </c>
      <c r="B19" s="2">
        <v>0.3905543684959412</v>
      </c>
      <c r="C19" s="1">
        <v>108</v>
      </c>
      <c r="D19" s="1">
        <v>492</v>
      </c>
      <c r="E19" s="1">
        <v>492</v>
      </c>
      <c r="F19" s="1">
        <v>0</v>
      </c>
      <c r="G19" s="1">
        <v>0</v>
      </c>
      <c r="H19" s="1">
        <v>108</v>
      </c>
    </row>
    <row r="20" spans="1:8">
      <c r="A20" s="1" t="s">
        <v>18</v>
      </c>
      <c r="B20" s="2">
        <v>0.3616244196891785</v>
      </c>
      <c r="C20" s="1">
        <v>100</v>
      </c>
      <c r="D20" s="1">
        <v>220</v>
      </c>
      <c r="E20" s="1">
        <v>220</v>
      </c>
      <c r="F20" s="1">
        <v>0</v>
      </c>
      <c r="G20" s="1">
        <v>0</v>
      </c>
      <c r="H20" s="1">
        <v>100</v>
      </c>
    </row>
    <row r="21" spans="1:8">
      <c r="A21" s="1" t="s">
        <v>19</v>
      </c>
      <c r="B21" s="2">
        <v>0.3037645220756531</v>
      </c>
      <c r="C21" s="1">
        <v>84</v>
      </c>
      <c r="D21" s="1">
        <v>252</v>
      </c>
      <c r="E21" s="1">
        <v>252</v>
      </c>
      <c r="F21" s="1">
        <v>0</v>
      </c>
      <c r="G21" s="1">
        <v>0</v>
      </c>
      <c r="H21" s="1">
        <v>84</v>
      </c>
    </row>
    <row r="22" spans="1:8">
      <c r="A22" s="1" t="s">
        <v>20</v>
      </c>
      <c r="B22" s="2">
        <v>0.274834543466568</v>
      </c>
      <c r="C22" s="1">
        <v>76</v>
      </c>
      <c r="D22" s="1">
        <v>136</v>
      </c>
      <c r="E22" s="1">
        <v>136</v>
      </c>
      <c r="F22" s="1">
        <v>0</v>
      </c>
      <c r="G22" s="1">
        <v>0</v>
      </c>
      <c r="H22" s="1">
        <v>76</v>
      </c>
    </row>
    <row r="23" spans="1:8">
      <c r="A23" s="1" t="s">
        <v>21</v>
      </c>
      <c r="B23" s="2">
        <v>0.2603695690631867</v>
      </c>
      <c r="C23" s="1">
        <v>72</v>
      </c>
      <c r="D23" s="1">
        <v>400</v>
      </c>
      <c r="E23" s="1">
        <v>392</v>
      </c>
      <c r="F23" s="1">
        <v>0</v>
      </c>
      <c r="G23" s="1">
        <v>8</v>
      </c>
      <c r="H23" s="1">
        <v>64</v>
      </c>
    </row>
    <row r="24" spans="1:8">
      <c r="A24" s="1" t="s">
        <v>22</v>
      </c>
      <c r="B24" s="2">
        <v>0.2603695690631867</v>
      </c>
      <c r="C24" s="1">
        <v>72</v>
      </c>
      <c r="D24" s="1">
        <v>1028</v>
      </c>
      <c r="E24" s="1">
        <v>468</v>
      </c>
      <c r="F24" s="1">
        <v>512</v>
      </c>
      <c r="G24" s="1">
        <v>48</v>
      </c>
      <c r="H24" s="1">
        <v>24</v>
      </c>
    </row>
    <row r="25" spans="1:8">
      <c r="A25" s="1" t="s">
        <v>23</v>
      </c>
      <c r="B25" s="2">
        <v>0.2603695690631867</v>
      </c>
      <c r="C25" s="1">
        <v>72</v>
      </c>
      <c r="D25" s="1">
        <v>978</v>
      </c>
      <c r="E25" s="1">
        <v>966</v>
      </c>
      <c r="F25" s="1">
        <v>12</v>
      </c>
      <c r="G25" s="1">
        <v>0</v>
      </c>
      <c r="H25" s="1">
        <v>72</v>
      </c>
    </row>
    <row r="26" spans="1:8">
      <c r="A26" s="1" t="s">
        <v>24</v>
      </c>
      <c r="B26" s="2">
        <v>0.231439620256424</v>
      </c>
      <c r="C26" s="1">
        <v>64</v>
      </c>
      <c r="D26" s="1">
        <v>286</v>
      </c>
      <c r="E26" s="1">
        <v>286</v>
      </c>
      <c r="F26" s="1">
        <v>0</v>
      </c>
      <c r="G26" s="1">
        <v>0</v>
      </c>
      <c r="H26" s="1">
        <v>64</v>
      </c>
    </row>
    <row r="27" spans="1:8">
      <c r="A27" s="1" t="s">
        <v>25</v>
      </c>
      <c r="B27" s="2">
        <v>0.1591147482395172</v>
      </c>
      <c r="C27" s="1">
        <v>44</v>
      </c>
      <c r="D27" s="1">
        <v>408</v>
      </c>
      <c r="E27" s="1">
        <v>344</v>
      </c>
      <c r="F27" s="1">
        <v>20</v>
      </c>
      <c r="G27" s="1">
        <v>44</v>
      </c>
      <c r="H27" s="1">
        <v>0</v>
      </c>
    </row>
    <row r="28" spans="1:8">
      <c r="A28" s="1" t="s">
        <v>26</v>
      </c>
      <c r="B28" s="2">
        <v>0.1446497738361359</v>
      </c>
      <c r="C28" s="1">
        <v>40</v>
      </c>
      <c r="D28" s="1">
        <v>76</v>
      </c>
      <c r="E28" s="1">
        <v>76</v>
      </c>
      <c r="F28" s="1">
        <v>0</v>
      </c>
      <c r="G28" s="1">
        <v>0</v>
      </c>
      <c r="H28" s="1">
        <v>40</v>
      </c>
    </row>
    <row r="29" spans="1:8">
      <c r="A29" s="1" t="s">
        <v>27</v>
      </c>
      <c r="B29" s="2">
        <v>0.1301847845315933</v>
      </c>
      <c r="C29" s="1">
        <v>36</v>
      </c>
      <c r="D29" s="1">
        <v>1006</v>
      </c>
      <c r="E29" s="1">
        <v>994</v>
      </c>
      <c r="F29" s="1">
        <v>12</v>
      </c>
      <c r="G29" s="1">
        <v>0</v>
      </c>
      <c r="H29" s="1">
        <v>36</v>
      </c>
    </row>
    <row r="30" spans="1:8">
      <c r="A30" s="1" t="s">
        <v>28</v>
      </c>
      <c r="B30" s="2">
        <v>0.08317361772060394</v>
      </c>
      <c r="C30" s="1">
        <v>23</v>
      </c>
      <c r="D30" s="1">
        <v>435</v>
      </c>
      <c r="E30" s="1">
        <v>400</v>
      </c>
      <c r="F30" s="1">
        <v>12</v>
      </c>
      <c r="G30" s="1">
        <v>23</v>
      </c>
      <c r="H30" s="1">
        <v>0</v>
      </c>
    </row>
    <row r="31" spans="1:8">
      <c r="A31" s="1" t="s">
        <v>29</v>
      </c>
      <c r="B31" s="2">
        <v>0.07232488691806793</v>
      </c>
      <c r="C31" s="1">
        <v>20</v>
      </c>
      <c r="D31" s="1">
        <v>192</v>
      </c>
      <c r="E31" s="1">
        <v>192</v>
      </c>
      <c r="F31" s="1">
        <v>0</v>
      </c>
      <c r="G31" s="1">
        <v>0</v>
      </c>
      <c r="H31" s="1">
        <v>20</v>
      </c>
    </row>
    <row r="32" spans="1:8">
      <c r="A32" s="1" t="s">
        <v>30</v>
      </c>
      <c r="B32" s="2">
        <v>0.07232488691806793</v>
      </c>
      <c r="C32" s="1">
        <v>20</v>
      </c>
      <c r="D32" s="1">
        <v>694</v>
      </c>
      <c r="E32" s="1">
        <v>674</v>
      </c>
      <c r="F32" s="1">
        <v>0</v>
      </c>
      <c r="G32" s="1">
        <v>20</v>
      </c>
      <c r="H32" s="1">
        <v>0</v>
      </c>
    </row>
    <row r="33" spans="1:8">
      <c r="A33" s="1" t="s">
        <v>31</v>
      </c>
      <c r="B33" s="2">
        <v>0.04339493066072464</v>
      </c>
      <c r="C33" s="1">
        <v>12</v>
      </c>
      <c r="D33" s="1">
        <v>106</v>
      </c>
      <c r="E33" s="1">
        <v>94</v>
      </c>
      <c r="F33" s="1">
        <v>0</v>
      </c>
      <c r="G33" s="1">
        <v>12</v>
      </c>
      <c r="H33" s="1">
        <v>0</v>
      </c>
    </row>
    <row r="34" spans="1:8">
      <c r="A34" s="1" t="s">
        <v>32</v>
      </c>
      <c r="B34" s="2">
        <v>0.04339493066072464</v>
      </c>
      <c r="C34" s="1">
        <v>12</v>
      </c>
      <c r="D34" s="1">
        <v>798</v>
      </c>
      <c r="E34" s="1">
        <v>786</v>
      </c>
      <c r="F34" s="1">
        <v>0</v>
      </c>
      <c r="G34" s="1">
        <v>12</v>
      </c>
      <c r="H34" s="1">
        <v>0</v>
      </c>
    </row>
    <row r="35" spans="1:8">
      <c r="A35" s="1" t="s">
        <v>33</v>
      </c>
      <c r="B35" s="2">
        <v>0.04339493066072464</v>
      </c>
      <c r="C35" s="1">
        <v>12</v>
      </c>
      <c r="D35" s="1">
        <v>126</v>
      </c>
      <c r="E35" s="1">
        <v>102</v>
      </c>
      <c r="F35" s="1">
        <v>12</v>
      </c>
      <c r="G35" s="1">
        <v>12</v>
      </c>
      <c r="H35" s="1">
        <v>0</v>
      </c>
    </row>
    <row r="36" spans="1:8">
      <c r="A36" s="1" t="s">
        <v>34</v>
      </c>
      <c r="B36" s="2">
        <v>0.04339493066072464</v>
      </c>
      <c r="C36" s="1">
        <v>12</v>
      </c>
      <c r="D36" s="1">
        <v>172</v>
      </c>
      <c r="E36" s="1">
        <v>148</v>
      </c>
      <c r="F36" s="1">
        <v>12</v>
      </c>
      <c r="G36" s="1">
        <v>12</v>
      </c>
      <c r="H36" s="1">
        <v>0</v>
      </c>
    </row>
    <row r="37" spans="1:8">
      <c r="A37" s="1" t="s">
        <v>35</v>
      </c>
      <c r="B37" s="2">
        <v>0.02892995253205299</v>
      </c>
      <c r="C37" s="1">
        <v>8</v>
      </c>
      <c r="D37" s="1">
        <v>2848</v>
      </c>
      <c r="E37" s="1">
        <v>2840</v>
      </c>
      <c r="F37" s="1">
        <v>0</v>
      </c>
      <c r="G37" s="1">
        <v>8</v>
      </c>
      <c r="H37" s="1">
        <v>0</v>
      </c>
    </row>
    <row r="38" spans="1:8">
      <c r="A38" s="1" t="s">
        <v>36</v>
      </c>
      <c r="B38" s="2">
        <v>0.02892995253205299</v>
      </c>
      <c r="C38" s="1">
        <v>8</v>
      </c>
      <c r="D38" s="1">
        <v>54</v>
      </c>
      <c r="E38" s="1">
        <v>34</v>
      </c>
      <c r="F38" s="1">
        <v>12</v>
      </c>
      <c r="G38" s="1">
        <v>8</v>
      </c>
      <c r="H38" s="1">
        <v>0</v>
      </c>
    </row>
    <row r="39" spans="1:8">
      <c r="A39" s="1" t="s">
        <v>37</v>
      </c>
      <c r="B39" s="2">
        <v>0.02169746533036232</v>
      </c>
      <c r="C39" s="1">
        <v>6</v>
      </c>
      <c r="D39" s="1">
        <v>2268</v>
      </c>
      <c r="E39" s="1">
        <v>1814</v>
      </c>
      <c r="F39" s="1">
        <v>448</v>
      </c>
      <c r="G39" s="1">
        <v>6</v>
      </c>
      <c r="H39" s="1">
        <v>0</v>
      </c>
    </row>
    <row r="40" spans="1:8">
      <c r="A40" s="1" t="s">
        <v>38</v>
      </c>
      <c r="B40" s="2">
        <v>0.0144649762660265</v>
      </c>
      <c r="C40" s="1">
        <v>4</v>
      </c>
      <c r="D40" s="1">
        <v>4</v>
      </c>
      <c r="E40" s="1">
        <v>0</v>
      </c>
      <c r="F40" s="1">
        <v>0</v>
      </c>
      <c r="G40" s="1">
        <v>4</v>
      </c>
      <c r="H40" s="1">
        <v>0</v>
      </c>
    </row>
    <row r="41" spans="1:8">
      <c r="A41" s="1" t="s">
        <v>39</v>
      </c>
      <c r="B41" s="2">
        <v>0.0144649762660265</v>
      </c>
      <c r="C41" s="1">
        <v>4</v>
      </c>
      <c r="D41" s="1">
        <v>16</v>
      </c>
      <c r="E41" s="1">
        <v>12</v>
      </c>
      <c r="F41" s="1">
        <v>0</v>
      </c>
      <c r="G41" s="1">
        <v>4</v>
      </c>
      <c r="H41" s="1">
        <v>0</v>
      </c>
    </row>
    <row r="42" spans="1:8">
      <c r="A42" s="1" t="s">
        <v>40</v>
      </c>
      <c r="B42" s="2">
        <v>0.0144649762660265</v>
      </c>
      <c r="C42" s="1">
        <v>4</v>
      </c>
      <c r="D42" s="1">
        <v>44</v>
      </c>
      <c r="E42" s="1">
        <v>16</v>
      </c>
      <c r="F42" s="1">
        <v>24</v>
      </c>
      <c r="G42" s="1">
        <v>4</v>
      </c>
      <c r="H42" s="1">
        <v>0</v>
      </c>
    </row>
    <row r="43" spans="1:8">
      <c r="A43" s="1" t="s">
        <v>41</v>
      </c>
      <c r="B43" s="2">
        <v>0.0144649762660265</v>
      </c>
      <c r="C43" s="1">
        <v>4</v>
      </c>
      <c r="D43" s="1">
        <v>1080</v>
      </c>
      <c r="E43" s="1">
        <v>740</v>
      </c>
      <c r="F43" s="1">
        <v>336</v>
      </c>
      <c r="G43" s="1">
        <v>4</v>
      </c>
      <c r="H43" s="1">
        <v>0</v>
      </c>
    </row>
    <row r="44" spans="1:8">
      <c r="A44" s="1" t="s">
        <v>42</v>
      </c>
      <c r="B44" s="2">
        <v>0.0144649762660265</v>
      </c>
      <c r="C44" s="1">
        <v>4</v>
      </c>
      <c r="D44" s="1">
        <v>272</v>
      </c>
      <c r="E44" s="1">
        <v>268</v>
      </c>
      <c r="F44" s="1">
        <v>0</v>
      </c>
      <c r="G44" s="1">
        <v>4</v>
      </c>
      <c r="H44" s="1">
        <v>0</v>
      </c>
    </row>
    <row r="45" spans="1:8">
      <c r="A45" s="1" t="s">
        <v>43</v>
      </c>
      <c r="B45" s="2">
        <v>0.0144649762660265</v>
      </c>
      <c r="C45" s="1">
        <v>4</v>
      </c>
      <c r="D45" s="1">
        <v>502</v>
      </c>
      <c r="E45" s="1">
        <v>498</v>
      </c>
      <c r="F45" s="1">
        <v>0</v>
      </c>
      <c r="G45" s="1">
        <v>4</v>
      </c>
      <c r="H45" s="1">
        <v>0</v>
      </c>
    </row>
    <row r="46" spans="1:8">
      <c r="A46" s="1" t="s">
        <v>44</v>
      </c>
      <c r="B46" s="2">
        <v>0.0144649762660265</v>
      </c>
      <c r="C46" s="1">
        <v>4</v>
      </c>
      <c r="D46" s="1">
        <v>84</v>
      </c>
      <c r="E46" s="1">
        <v>48</v>
      </c>
      <c r="F46" s="1">
        <v>32</v>
      </c>
      <c r="G46" s="1">
        <v>4</v>
      </c>
      <c r="H46" s="1">
        <v>0</v>
      </c>
    </row>
    <row r="47" spans="1:8">
      <c r="A47" s="1" t="s">
        <v>45</v>
      </c>
      <c r="B47" s="2">
        <v>0.01084873266518116</v>
      </c>
      <c r="C47" s="1">
        <v>3</v>
      </c>
      <c r="D47" s="1">
        <v>771</v>
      </c>
      <c r="E47" s="1">
        <v>768</v>
      </c>
      <c r="F47" s="1">
        <v>0</v>
      </c>
      <c r="G47" s="1">
        <v>3</v>
      </c>
      <c r="H47" s="1">
        <v>0</v>
      </c>
    </row>
    <row r="48" spans="1:8">
      <c r="A48" s="1" t="s">
        <v>46</v>
      </c>
      <c r="B48" s="2">
        <v>0.007232488133013248</v>
      </c>
      <c r="C48" s="1">
        <v>2</v>
      </c>
      <c r="D48" s="1">
        <v>328</v>
      </c>
      <c r="E48" s="1">
        <v>326</v>
      </c>
      <c r="F48" s="1">
        <v>0</v>
      </c>
      <c r="G48" s="1">
        <v>2</v>
      </c>
      <c r="H48" s="1">
        <v>0</v>
      </c>
    </row>
    <row r="162" spans="1:8">
      <c r="A162" t="s">
        <v>162</v>
      </c>
      <c r="B162">
        <f>SUBTOTAL(109,[ram_percent])</f>
        <v>0</v>
      </c>
      <c r="C162">
        <f>SUBTOTAL(109,[ram])</f>
        <v>0</v>
      </c>
      <c r="D162">
        <f>SUBTOTAL(109,[flash])</f>
        <v>0</v>
      </c>
      <c r="E162">
        <f>SUBTOTAL(109,[Code])</f>
        <v>0</v>
      </c>
      <c r="F162">
        <f>SUBTOTAL(109,[RO_data])</f>
        <v>0</v>
      </c>
      <c r="G162">
        <f>SUBTOTAL(109,[RW_data])</f>
        <v>0</v>
      </c>
      <c r="H162">
        <f>SUBTOTAL(109,[ZI_data])</f>
        <v>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H162"/>
  <sheetViews>
    <sheetView workbookViewId="0"/>
  </sheetViews>
  <sheetFormatPr defaultRowHeight="15"/>
  <cols>
    <col min="1" max="8" width="16.7109375" customWidth="1"/>
  </cols>
  <sheetData>
    <row r="1" spans="1:8">
      <c r="A1" t="s">
        <v>0</v>
      </c>
    </row>
    <row r="2" spans="1:8">
      <c r="A2" t="s">
        <v>161</v>
      </c>
      <c r="B2" t="s">
        <v>170</v>
      </c>
      <c r="C2" t="s">
        <v>165</v>
      </c>
      <c r="D2" t="s">
        <v>164</v>
      </c>
      <c r="E2" t="s">
        <v>166</v>
      </c>
      <c r="F2" t="s">
        <v>167</v>
      </c>
      <c r="G2" t="s">
        <v>168</v>
      </c>
      <c r="H2" t="s">
        <v>169</v>
      </c>
    </row>
    <row r="3" spans="1:8">
      <c r="A3" s="1" t="s">
        <v>15</v>
      </c>
      <c r="B3" s="2">
        <v>4.649857997894287</v>
      </c>
      <c r="C3" s="1">
        <v>4310</v>
      </c>
      <c r="D3" s="1">
        <v>132</v>
      </c>
      <c r="E3" s="1">
        <v>4298</v>
      </c>
      <c r="F3" s="1">
        <v>12</v>
      </c>
      <c r="G3" s="1">
        <v>0</v>
      </c>
      <c r="H3" s="1">
        <v>132</v>
      </c>
    </row>
    <row r="4" spans="1:8">
      <c r="A4" s="1" t="s">
        <v>47</v>
      </c>
      <c r="B4" s="2">
        <v>3.646524429321289</v>
      </c>
      <c r="C4" s="1">
        <v>3380</v>
      </c>
      <c r="D4" s="1">
        <v>0</v>
      </c>
      <c r="E4" s="1">
        <v>3380</v>
      </c>
      <c r="F4" s="1">
        <v>0</v>
      </c>
      <c r="G4" s="1">
        <v>0</v>
      </c>
      <c r="H4" s="1">
        <v>0</v>
      </c>
    </row>
    <row r="5" spans="1:8">
      <c r="A5" s="1" t="s">
        <v>48</v>
      </c>
      <c r="B5" s="2">
        <v>3.575320243835449</v>
      </c>
      <c r="C5" s="1">
        <v>3314</v>
      </c>
      <c r="D5" s="1">
        <v>0</v>
      </c>
      <c r="E5" s="1">
        <v>3290</v>
      </c>
      <c r="F5" s="1">
        <v>24</v>
      </c>
      <c r="G5" s="1">
        <v>0</v>
      </c>
      <c r="H5" s="1">
        <v>0</v>
      </c>
    </row>
    <row r="6" spans="1:8">
      <c r="A6" s="1" t="s">
        <v>49</v>
      </c>
      <c r="B6" s="2">
        <v>3.510588884353638</v>
      </c>
      <c r="C6" s="1">
        <v>3254</v>
      </c>
      <c r="D6" s="1">
        <v>0</v>
      </c>
      <c r="E6" s="1">
        <v>3254</v>
      </c>
      <c r="F6" s="1">
        <v>0</v>
      </c>
      <c r="G6" s="1">
        <v>0</v>
      </c>
      <c r="H6" s="1">
        <v>0</v>
      </c>
    </row>
    <row r="7" spans="1:8">
      <c r="A7" s="1" t="s">
        <v>50</v>
      </c>
      <c r="B7" s="2">
        <v>3.441542387008667</v>
      </c>
      <c r="C7" s="1">
        <v>3190</v>
      </c>
      <c r="D7" s="1">
        <v>0</v>
      </c>
      <c r="E7" s="1">
        <v>3190</v>
      </c>
      <c r="F7" s="1">
        <v>0</v>
      </c>
      <c r="G7" s="1">
        <v>0</v>
      </c>
      <c r="H7" s="1">
        <v>0</v>
      </c>
    </row>
    <row r="8" spans="1:8">
      <c r="A8" s="1" t="s">
        <v>51</v>
      </c>
      <c r="B8" s="2">
        <v>3.0876784324646</v>
      </c>
      <c r="C8" s="1">
        <v>2862</v>
      </c>
      <c r="D8" s="1">
        <v>0</v>
      </c>
      <c r="E8" s="1">
        <v>2518</v>
      </c>
      <c r="F8" s="1">
        <v>344</v>
      </c>
      <c r="G8" s="1">
        <v>0</v>
      </c>
      <c r="H8" s="1">
        <v>0</v>
      </c>
    </row>
    <row r="9" spans="1:8">
      <c r="A9" s="1" t="s">
        <v>35</v>
      </c>
      <c r="B9" s="2">
        <v>3.072574377059937</v>
      </c>
      <c r="C9" s="1">
        <v>2848</v>
      </c>
      <c r="D9" s="1">
        <v>8</v>
      </c>
      <c r="E9" s="1">
        <v>2840</v>
      </c>
      <c r="F9" s="1">
        <v>0</v>
      </c>
      <c r="G9" s="1">
        <v>8</v>
      </c>
      <c r="H9" s="1">
        <v>0</v>
      </c>
    </row>
    <row r="10" spans="1:8">
      <c r="A10" s="1" t="s">
        <v>52</v>
      </c>
      <c r="B10" s="2">
        <v>2.561197996139526</v>
      </c>
      <c r="C10" s="1">
        <v>2374</v>
      </c>
      <c r="D10" s="1">
        <v>0</v>
      </c>
      <c r="E10" s="1">
        <v>2342</v>
      </c>
      <c r="F10" s="1">
        <v>32</v>
      </c>
      <c r="G10" s="1">
        <v>0</v>
      </c>
      <c r="H10" s="1">
        <v>0</v>
      </c>
    </row>
    <row r="11" spans="1:8">
      <c r="A11" s="1" t="s">
        <v>53</v>
      </c>
      <c r="B11" s="2">
        <v>2.537463188171387</v>
      </c>
      <c r="C11" s="1">
        <v>2352</v>
      </c>
      <c r="D11" s="1">
        <v>0</v>
      </c>
      <c r="E11" s="1">
        <v>2352</v>
      </c>
      <c r="F11" s="1">
        <v>0</v>
      </c>
      <c r="G11" s="1">
        <v>0</v>
      </c>
      <c r="H11" s="1">
        <v>0</v>
      </c>
    </row>
    <row r="12" spans="1:8">
      <c r="A12" s="1" t="s">
        <v>54</v>
      </c>
      <c r="B12" s="2">
        <v>2.533147811889648</v>
      </c>
      <c r="C12" s="1">
        <v>2348</v>
      </c>
      <c r="D12" s="1">
        <v>0</v>
      </c>
      <c r="E12" s="1">
        <v>296</v>
      </c>
      <c r="F12" s="1">
        <v>2052</v>
      </c>
      <c r="G12" s="1">
        <v>0</v>
      </c>
      <c r="H12" s="1">
        <v>0</v>
      </c>
    </row>
    <row r="13" spans="1:8">
      <c r="A13" s="1" t="s">
        <v>10</v>
      </c>
      <c r="B13" s="2">
        <v>2.52883243560791</v>
      </c>
      <c r="C13" s="1">
        <v>2344</v>
      </c>
      <c r="D13" s="1">
        <v>300</v>
      </c>
      <c r="E13" s="1">
        <v>2284</v>
      </c>
      <c r="F13" s="1">
        <v>0</v>
      </c>
      <c r="G13" s="1">
        <v>60</v>
      </c>
      <c r="H13" s="1">
        <v>240</v>
      </c>
    </row>
    <row r="14" spans="1:8">
      <c r="A14" s="1" t="s">
        <v>37</v>
      </c>
      <c r="B14" s="2">
        <v>2.446839570999146</v>
      </c>
      <c r="C14" s="1">
        <v>2268</v>
      </c>
      <c r="D14" s="1">
        <v>6</v>
      </c>
      <c r="E14" s="1">
        <v>1814</v>
      </c>
      <c r="F14" s="1">
        <v>448</v>
      </c>
      <c r="G14" s="1">
        <v>6</v>
      </c>
      <c r="H14" s="1">
        <v>0</v>
      </c>
    </row>
    <row r="15" spans="1:8">
      <c r="A15" s="1" t="s">
        <v>55</v>
      </c>
      <c r="B15" s="2">
        <v>2.392896890640259</v>
      </c>
      <c r="C15" s="1">
        <v>2218</v>
      </c>
      <c r="D15" s="1">
        <v>0</v>
      </c>
      <c r="E15" s="1">
        <v>2218</v>
      </c>
      <c r="F15" s="1">
        <v>0</v>
      </c>
      <c r="G15" s="1">
        <v>0</v>
      </c>
      <c r="H15" s="1">
        <v>0</v>
      </c>
    </row>
    <row r="16" spans="1:8">
      <c r="A16" s="1" t="s">
        <v>56</v>
      </c>
      <c r="B16" s="2">
        <v>2.213807106018066</v>
      </c>
      <c r="C16" s="1">
        <v>2052</v>
      </c>
      <c r="D16" s="1">
        <v>0</v>
      </c>
      <c r="E16" s="1">
        <v>0</v>
      </c>
      <c r="F16" s="1">
        <v>2052</v>
      </c>
      <c r="G16" s="1">
        <v>0</v>
      </c>
      <c r="H16" s="1">
        <v>0</v>
      </c>
    </row>
    <row r="17" spans="1:8">
      <c r="A17" s="1" t="s">
        <v>57</v>
      </c>
      <c r="B17" s="2">
        <v>2.049821376800537</v>
      </c>
      <c r="C17" s="1">
        <v>1900</v>
      </c>
      <c r="D17" s="1">
        <v>0</v>
      </c>
      <c r="E17" s="1">
        <v>1900</v>
      </c>
      <c r="F17" s="1">
        <v>0</v>
      </c>
      <c r="G17" s="1">
        <v>0</v>
      </c>
      <c r="H17" s="1">
        <v>0</v>
      </c>
    </row>
    <row r="18" spans="1:8">
      <c r="A18" s="1" t="s">
        <v>58</v>
      </c>
      <c r="B18" s="2">
        <v>1.948409199714661</v>
      </c>
      <c r="C18" s="1">
        <v>1806</v>
      </c>
      <c r="D18" s="1">
        <v>0</v>
      </c>
      <c r="E18" s="1">
        <v>1806</v>
      </c>
      <c r="F18" s="1">
        <v>0</v>
      </c>
      <c r="G18" s="1">
        <v>0</v>
      </c>
      <c r="H18" s="1">
        <v>0</v>
      </c>
    </row>
    <row r="19" spans="1:8">
      <c r="A19" s="1" t="s">
        <v>59</v>
      </c>
      <c r="B19" s="2">
        <v>1.734796285629273</v>
      </c>
      <c r="C19" s="1">
        <v>1608</v>
      </c>
      <c r="D19" s="1">
        <v>0</v>
      </c>
      <c r="E19" s="1">
        <v>1608</v>
      </c>
      <c r="F19" s="1">
        <v>0</v>
      </c>
      <c r="G19" s="1">
        <v>0</v>
      </c>
      <c r="H19" s="1">
        <v>0</v>
      </c>
    </row>
    <row r="20" spans="1:8">
      <c r="A20" s="1" t="s">
        <v>11</v>
      </c>
      <c r="B20" s="2">
        <v>1.622595548629761</v>
      </c>
      <c r="C20" s="1">
        <v>1504</v>
      </c>
      <c r="D20" s="1">
        <v>264</v>
      </c>
      <c r="E20" s="1">
        <v>1504</v>
      </c>
      <c r="F20" s="1">
        <v>0</v>
      </c>
      <c r="G20" s="1">
        <v>0</v>
      </c>
      <c r="H20" s="1">
        <v>264</v>
      </c>
    </row>
    <row r="21" spans="1:8">
      <c r="A21" s="1" t="s">
        <v>60</v>
      </c>
      <c r="B21" s="2">
        <v>1.503921627998352</v>
      </c>
      <c r="C21" s="1">
        <v>1394</v>
      </c>
      <c r="D21" s="1">
        <v>0</v>
      </c>
      <c r="E21" s="1">
        <v>1394</v>
      </c>
      <c r="F21" s="1">
        <v>0</v>
      </c>
      <c r="G21" s="1">
        <v>0</v>
      </c>
      <c r="H21" s="1">
        <v>0</v>
      </c>
    </row>
    <row r="22" spans="1:8">
      <c r="A22" s="1" t="s">
        <v>61</v>
      </c>
      <c r="B22" s="2">
        <v>1.421928763389587</v>
      </c>
      <c r="C22" s="1">
        <v>1318</v>
      </c>
      <c r="D22" s="1">
        <v>0</v>
      </c>
      <c r="E22" s="1">
        <v>1318</v>
      </c>
      <c r="F22" s="1">
        <v>0</v>
      </c>
      <c r="G22" s="1">
        <v>0</v>
      </c>
      <c r="H22" s="1">
        <v>0</v>
      </c>
    </row>
    <row r="23" spans="1:8">
      <c r="A23" s="1" t="s">
        <v>62</v>
      </c>
      <c r="B23" s="2">
        <v>1.374459266662598</v>
      </c>
      <c r="C23" s="1">
        <v>1274</v>
      </c>
      <c r="D23" s="1">
        <v>0</v>
      </c>
      <c r="E23" s="1">
        <v>1274</v>
      </c>
      <c r="F23" s="1">
        <v>0</v>
      </c>
      <c r="G23" s="1">
        <v>0</v>
      </c>
      <c r="H23" s="1">
        <v>0</v>
      </c>
    </row>
    <row r="24" spans="1:8">
      <c r="A24" s="1" t="s">
        <v>63</v>
      </c>
      <c r="B24" s="2">
        <v>1.316201090812683</v>
      </c>
      <c r="C24" s="1">
        <v>1220</v>
      </c>
      <c r="D24" s="1">
        <v>0</v>
      </c>
      <c r="E24" s="1">
        <v>1220</v>
      </c>
      <c r="F24" s="1">
        <v>0</v>
      </c>
      <c r="G24" s="1">
        <v>0</v>
      </c>
      <c r="H24" s="1">
        <v>0</v>
      </c>
    </row>
    <row r="25" spans="1:8">
      <c r="A25" s="1" t="s">
        <v>64</v>
      </c>
      <c r="B25" s="2">
        <v>1.294624090194702</v>
      </c>
      <c r="C25" s="1">
        <v>1200</v>
      </c>
      <c r="D25" s="1">
        <v>0</v>
      </c>
      <c r="E25" s="1">
        <v>1200</v>
      </c>
      <c r="F25" s="1">
        <v>0</v>
      </c>
      <c r="G25" s="1">
        <v>0</v>
      </c>
      <c r="H25" s="1">
        <v>0</v>
      </c>
    </row>
    <row r="26" spans="1:8">
      <c r="A26" s="1" t="s">
        <v>3</v>
      </c>
      <c r="B26" s="2">
        <v>1.251469969749451</v>
      </c>
      <c r="C26" s="1">
        <v>1160</v>
      </c>
      <c r="D26" s="1">
        <v>1672</v>
      </c>
      <c r="E26" s="1">
        <v>1160</v>
      </c>
      <c r="F26" s="1">
        <v>0</v>
      </c>
      <c r="G26" s="1">
        <v>0</v>
      </c>
      <c r="H26" s="1">
        <v>1672</v>
      </c>
    </row>
    <row r="27" spans="1:8">
      <c r="A27" s="1" t="s">
        <v>8</v>
      </c>
      <c r="B27" s="2">
        <v>1.171634793281555</v>
      </c>
      <c r="C27" s="1">
        <v>1086</v>
      </c>
      <c r="D27" s="1">
        <v>356</v>
      </c>
      <c r="E27" s="1">
        <v>730</v>
      </c>
      <c r="F27" s="1">
        <v>352</v>
      </c>
      <c r="G27" s="1">
        <v>4</v>
      </c>
      <c r="H27" s="1">
        <v>352</v>
      </c>
    </row>
    <row r="28" spans="1:8">
      <c r="A28" s="1" t="s">
        <v>41</v>
      </c>
      <c r="B28" s="2">
        <v>1.165161609649658</v>
      </c>
      <c r="C28" s="1">
        <v>1080</v>
      </c>
      <c r="D28" s="1">
        <v>4</v>
      </c>
      <c r="E28" s="1">
        <v>740</v>
      </c>
      <c r="F28" s="1">
        <v>336</v>
      </c>
      <c r="G28" s="1">
        <v>4</v>
      </c>
      <c r="H28" s="1">
        <v>0</v>
      </c>
    </row>
    <row r="29" spans="1:8">
      <c r="A29" s="1" t="s">
        <v>65</v>
      </c>
      <c r="B29" s="2">
        <v>1.143584609031677</v>
      </c>
      <c r="C29" s="1">
        <v>1060</v>
      </c>
      <c r="D29" s="1">
        <v>0</v>
      </c>
      <c r="E29" s="1">
        <v>1032</v>
      </c>
      <c r="F29" s="1">
        <v>28</v>
      </c>
      <c r="G29" s="1">
        <v>0</v>
      </c>
      <c r="H29" s="1">
        <v>0</v>
      </c>
    </row>
    <row r="30" spans="1:8">
      <c r="A30" s="1" t="s">
        <v>22</v>
      </c>
      <c r="B30" s="2">
        <v>1.109061241149902</v>
      </c>
      <c r="C30" s="1">
        <v>1028</v>
      </c>
      <c r="D30" s="1">
        <v>72</v>
      </c>
      <c r="E30" s="1">
        <v>468</v>
      </c>
      <c r="F30" s="1">
        <v>512</v>
      </c>
      <c r="G30" s="1">
        <v>48</v>
      </c>
      <c r="H30" s="1">
        <v>24</v>
      </c>
    </row>
    <row r="31" spans="1:8">
      <c r="A31" s="1" t="s">
        <v>27</v>
      </c>
      <c r="B31" s="2">
        <v>1.085326552391052</v>
      </c>
      <c r="C31" s="1">
        <v>1006</v>
      </c>
      <c r="D31" s="1">
        <v>36</v>
      </c>
      <c r="E31" s="1">
        <v>994</v>
      </c>
      <c r="F31" s="1">
        <v>12</v>
      </c>
      <c r="G31" s="1">
        <v>0</v>
      </c>
      <c r="H31" s="1">
        <v>36</v>
      </c>
    </row>
    <row r="32" spans="1:8">
      <c r="A32" s="1" t="s">
        <v>66</v>
      </c>
      <c r="B32" s="2">
        <v>1.063749432563782</v>
      </c>
      <c r="C32" s="1">
        <v>986</v>
      </c>
      <c r="D32" s="1">
        <v>0</v>
      </c>
      <c r="E32" s="1">
        <v>986</v>
      </c>
      <c r="F32" s="1">
        <v>0</v>
      </c>
      <c r="G32" s="1">
        <v>0</v>
      </c>
      <c r="H32" s="1">
        <v>0</v>
      </c>
    </row>
    <row r="33" spans="1:8">
      <c r="A33" s="1" t="s">
        <v>23</v>
      </c>
      <c r="B33" s="2">
        <v>1.055118560791016</v>
      </c>
      <c r="C33" s="1">
        <v>978</v>
      </c>
      <c r="D33" s="1">
        <v>72</v>
      </c>
      <c r="E33" s="1">
        <v>966</v>
      </c>
      <c r="F33" s="1">
        <v>12</v>
      </c>
      <c r="G33" s="1">
        <v>0</v>
      </c>
      <c r="H33" s="1">
        <v>72</v>
      </c>
    </row>
    <row r="34" spans="1:8">
      <c r="A34" s="1" t="s">
        <v>67</v>
      </c>
      <c r="B34" s="2">
        <v>1.031383872032166</v>
      </c>
      <c r="C34" s="1">
        <v>956</v>
      </c>
      <c r="D34" s="1">
        <v>0</v>
      </c>
      <c r="E34" s="1">
        <v>956</v>
      </c>
      <c r="F34" s="1">
        <v>0</v>
      </c>
      <c r="G34" s="1">
        <v>0</v>
      </c>
      <c r="H34" s="1">
        <v>0</v>
      </c>
    </row>
    <row r="35" spans="1:8">
      <c r="A35" s="1" t="s">
        <v>68</v>
      </c>
      <c r="B35" s="2">
        <v>0.8976060152053833</v>
      </c>
      <c r="C35" s="1">
        <v>832</v>
      </c>
      <c r="D35" s="1">
        <v>0</v>
      </c>
      <c r="E35" s="1">
        <v>832</v>
      </c>
      <c r="F35" s="1">
        <v>0</v>
      </c>
      <c r="G35" s="1">
        <v>0</v>
      </c>
      <c r="H35" s="1">
        <v>0</v>
      </c>
    </row>
    <row r="36" spans="1:8">
      <c r="A36" s="1" t="s">
        <v>4</v>
      </c>
      <c r="B36" s="2">
        <v>0.8846597671508789</v>
      </c>
      <c r="C36" s="1">
        <v>820</v>
      </c>
      <c r="D36" s="1">
        <v>1644</v>
      </c>
      <c r="E36" s="1">
        <v>816</v>
      </c>
      <c r="F36" s="1">
        <v>0</v>
      </c>
      <c r="G36" s="1">
        <v>4</v>
      </c>
      <c r="H36" s="1">
        <v>1640</v>
      </c>
    </row>
    <row r="37" spans="1:8">
      <c r="A37" s="1" t="s">
        <v>32</v>
      </c>
      <c r="B37" s="2">
        <v>0.860925018787384</v>
      </c>
      <c r="C37" s="1">
        <v>798</v>
      </c>
      <c r="D37" s="1">
        <v>12</v>
      </c>
      <c r="E37" s="1">
        <v>786</v>
      </c>
      <c r="F37" s="1">
        <v>0</v>
      </c>
      <c r="G37" s="1">
        <v>12</v>
      </c>
      <c r="H37" s="1">
        <v>0</v>
      </c>
    </row>
    <row r="38" spans="1:8">
      <c r="A38" s="1" t="s">
        <v>69</v>
      </c>
      <c r="B38" s="2">
        <v>0.8458210825920105</v>
      </c>
      <c r="C38" s="1">
        <v>784</v>
      </c>
      <c r="D38" s="1">
        <v>0</v>
      </c>
      <c r="E38" s="1">
        <v>784</v>
      </c>
      <c r="F38" s="1">
        <v>0</v>
      </c>
      <c r="G38" s="1">
        <v>0</v>
      </c>
      <c r="H38" s="1">
        <v>0</v>
      </c>
    </row>
    <row r="39" spans="1:8">
      <c r="A39" s="1" t="s">
        <v>45</v>
      </c>
      <c r="B39" s="2">
        <v>0.8317959904670715</v>
      </c>
      <c r="C39" s="1">
        <v>771</v>
      </c>
      <c r="D39" s="1">
        <v>3</v>
      </c>
      <c r="E39" s="1">
        <v>768</v>
      </c>
      <c r="F39" s="1">
        <v>0</v>
      </c>
      <c r="G39" s="1">
        <v>3</v>
      </c>
      <c r="H39" s="1">
        <v>0</v>
      </c>
    </row>
    <row r="40" spans="1:8">
      <c r="A40" s="1" t="s">
        <v>12</v>
      </c>
      <c r="B40" s="2">
        <v>0.8156131505966187</v>
      </c>
      <c r="C40" s="1">
        <v>756</v>
      </c>
      <c r="D40" s="1">
        <v>228</v>
      </c>
      <c r="E40" s="1">
        <v>756</v>
      </c>
      <c r="F40" s="1">
        <v>0</v>
      </c>
      <c r="G40" s="1">
        <v>0</v>
      </c>
      <c r="H40" s="1">
        <v>228</v>
      </c>
    </row>
    <row r="41" spans="1:8">
      <c r="A41" s="1" t="s">
        <v>70</v>
      </c>
      <c r="B41" s="2">
        <v>0.7767744660377502</v>
      </c>
      <c r="C41" s="1">
        <v>720</v>
      </c>
      <c r="D41" s="1">
        <v>0</v>
      </c>
      <c r="E41" s="1">
        <v>720</v>
      </c>
      <c r="F41" s="1">
        <v>0</v>
      </c>
      <c r="G41" s="1">
        <v>0</v>
      </c>
      <c r="H41" s="1">
        <v>0</v>
      </c>
    </row>
    <row r="42" spans="1:8">
      <c r="A42" s="1" t="s">
        <v>71</v>
      </c>
      <c r="B42" s="2">
        <v>0.7703013420104981</v>
      </c>
      <c r="C42" s="1">
        <v>714</v>
      </c>
      <c r="D42" s="1">
        <v>0</v>
      </c>
      <c r="E42" s="1">
        <v>706</v>
      </c>
      <c r="F42" s="1">
        <v>8</v>
      </c>
      <c r="G42" s="1">
        <v>0</v>
      </c>
      <c r="H42" s="1">
        <v>0</v>
      </c>
    </row>
    <row r="43" spans="1:8">
      <c r="A43" s="1" t="s">
        <v>30</v>
      </c>
      <c r="B43" s="2">
        <v>0.7487242817878723</v>
      </c>
      <c r="C43" s="1">
        <v>694</v>
      </c>
      <c r="D43" s="1">
        <v>20</v>
      </c>
      <c r="E43" s="1">
        <v>674</v>
      </c>
      <c r="F43" s="1">
        <v>0</v>
      </c>
      <c r="G43" s="1">
        <v>20</v>
      </c>
      <c r="H43" s="1">
        <v>0</v>
      </c>
    </row>
    <row r="44" spans="1:8">
      <c r="A44" s="1" t="s">
        <v>72</v>
      </c>
      <c r="B44" s="2">
        <v>0.7379357218742371</v>
      </c>
      <c r="C44" s="1">
        <v>684</v>
      </c>
      <c r="D44" s="1">
        <v>0</v>
      </c>
      <c r="E44" s="1">
        <v>684</v>
      </c>
      <c r="F44" s="1">
        <v>0</v>
      </c>
      <c r="G44" s="1">
        <v>0</v>
      </c>
      <c r="H44" s="1">
        <v>0</v>
      </c>
    </row>
    <row r="45" spans="1:8">
      <c r="A45" s="1" t="s">
        <v>73</v>
      </c>
      <c r="B45" s="2">
        <v>0.7293049097061157</v>
      </c>
      <c r="C45" s="1">
        <v>676</v>
      </c>
      <c r="D45" s="1">
        <v>0</v>
      </c>
      <c r="E45" s="1">
        <v>676</v>
      </c>
      <c r="F45" s="1">
        <v>0</v>
      </c>
      <c r="G45" s="1">
        <v>0</v>
      </c>
      <c r="H45" s="1">
        <v>0</v>
      </c>
    </row>
    <row r="46" spans="1:8">
      <c r="A46" s="1" t="s">
        <v>74</v>
      </c>
      <c r="B46" s="2">
        <v>0.7185163497924805</v>
      </c>
      <c r="C46" s="1">
        <v>666</v>
      </c>
      <c r="D46" s="1">
        <v>0</v>
      </c>
      <c r="E46" s="1">
        <v>666</v>
      </c>
      <c r="F46" s="1">
        <v>0</v>
      </c>
      <c r="G46" s="1">
        <v>0</v>
      </c>
      <c r="H46" s="1">
        <v>0</v>
      </c>
    </row>
    <row r="47" spans="1:8">
      <c r="A47" s="1" t="s">
        <v>75</v>
      </c>
      <c r="B47" s="2">
        <v>0.6947816014289856</v>
      </c>
      <c r="C47" s="1">
        <v>644</v>
      </c>
      <c r="D47" s="1">
        <v>0</v>
      </c>
      <c r="E47" s="1">
        <v>644</v>
      </c>
      <c r="F47" s="1">
        <v>0</v>
      </c>
      <c r="G47" s="1">
        <v>0</v>
      </c>
      <c r="H47" s="1">
        <v>0</v>
      </c>
    </row>
    <row r="48" spans="1:8">
      <c r="A48" s="1" t="s">
        <v>76</v>
      </c>
      <c r="B48" s="2">
        <v>0.6839930415153503</v>
      </c>
      <c r="C48" s="1">
        <v>634</v>
      </c>
      <c r="D48" s="1">
        <v>0</v>
      </c>
      <c r="E48" s="1">
        <v>634</v>
      </c>
      <c r="F48" s="1">
        <v>0</v>
      </c>
      <c r="G48" s="1">
        <v>0</v>
      </c>
      <c r="H48" s="1">
        <v>0</v>
      </c>
    </row>
    <row r="49" spans="1:8">
      <c r="A49" s="1" t="s">
        <v>2</v>
      </c>
      <c r="B49" s="2">
        <v>0.6688891053199768</v>
      </c>
      <c r="C49" s="1">
        <v>620</v>
      </c>
      <c r="D49" s="1">
        <v>2044</v>
      </c>
      <c r="E49" s="1">
        <v>564</v>
      </c>
      <c r="F49" s="1">
        <v>56</v>
      </c>
      <c r="G49" s="1">
        <v>0</v>
      </c>
      <c r="H49" s="1">
        <v>2044</v>
      </c>
    </row>
    <row r="50" spans="1:8">
      <c r="A50" s="1" t="s">
        <v>77</v>
      </c>
      <c r="B50" s="2">
        <v>0.6343657970428467</v>
      </c>
      <c r="C50" s="1">
        <v>588</v>
      </c>
      <c r="D50" s="1">
        <v>0</v>
      </c>
      <c r="E50" s="1">
        <v>588</v>
      </c>
      <c r="F50" s="1">
        <v>0</v>
      </c>
      <c r="G50" s="1">
        <v>0</v>
      </c>
      <c r="H50" s="1">
        <v>0</v>
      </c>
    </row>
    <row r="51" spans="1:8">
      <c r="A51" s="1" t="s">
        <v>78</v>
      </c>
      <c r="B51" s="2">
        <v>0.5998424887657166</v>
      </c>
      <c r="C51" s="1">
        <v>556</v>
      </c>
      <c r="D51" s="1">
        <v>0</v>
      </c>
      <c r="E51" s="1">
        <v>44</v>
      </c>
      <c r="F51" s="1">
        <v>512</v>
      </c>
      <c r="G51" s="1">
        <v>0</v>
      </c>
      <c r="H51" s="1">
        <v>0</v>
      </c>
    </row>
    <row r="52" spans="1:8">
      <c r="A52" s="1" t="s">
        <v>79</v>
      </c>
      <c r="B52" s="2">
        <v>0.5782654285430908</v>
      </c>
      <c r="C52" s="1">
        <v>536</v>
      </c>
      <c r="D52" s="1">
        <v>0</v>
      </c>
      <c r="E52" s="1">
        <v>344</v>
      </c>
      <c r="F52" s="1">
        <v>192</v>
      </c>
      <c r="G52" s="1">
        <v>0</v>
      </c>
      <c r="H52" s="1">
        <v>0</v>
      </c>
    </row>
    <row r="53" spans="1:8">
      <c r="A53" s="1" t="s">
        <v>1</v>
      </c>
      <c r="B53" s="2">
        <v>0.552372932434082</v>
      </c>
      <c r="C53" s="1">
        <v>512</v>
      </c>
      <c r="D53" s="1">
        <v>16416</v>
      </c>
      <c r="E53" s="1">
        <v>480</v>
      </c>
      <c r="F53" s="1">
        <v>0</v>
      </c>
      <c r="G53" s="1">
        <v>32</v>
      </c>
      <c r="H53" s="1">
        <v>16384</v>
      </c>
    </row>
    <row r="54" spans="1:8">
      <c r="A54" s="1" t="s">
        <v>6</v>
      </c>
      <c r="B54" s="2">
        <v>0.548057496547699</v>
      </c>
      <c r="C54" s="1">
        <v>508</v>
      </c>
      <c r="D54" s="1">
        <v>1024</v>
      </c>
      <c r="E54" s="1">
        <v>36</v>
      </c>
      <c r="F54" s="1">
        <v>472</v>
      </c>
      <c r="G54" s="1">
        <v>0</v>
      </c>
      <c r="H54" s="1">
        <v>1024</v>
      </c>
    </row>
    <row r="55" spans="1:8">
      <c r="A55" s="1" t="s">
        <v>80</v>
      </c>
      <c r="B55" s="2">
        <v>0.5437421202659607</v>
      </c>
      <c r="C55" s="1">
        <v>504</v>
      </c>
      <c r="D55" s="1">
        <v>0</v>
      </c>
      <c r="E55" s="1">
        <v>504</v>
      </c>
      <c r="F55" s="1">
        <v>0</v>
      </c>
      <c r="G55" s="1">
        <v>0</v>
      </c>
      <c r="H55" s="1">
        <v>0</v>
      </c>
    </row>
    <row r="56" spans="1:8">
      <c r="A56" s="1" t="s">
        <v>43</v>
      </c>
      <c r="B56" s="2">
        <v>0.5415844321250916</v>
      </c>
      <c r="C56" s="1">
        <v>502</v>
      </c>
      <c r="D56" s="1">
        <v>4</v>
      </c>
      <c r="E56" s="1">
        <v>498</v>
      </c>
      <c r="F56" s="1">
        <v>0</v>
      </c>
      <c r="G56" s="1">
        <v>4</v>
      </c>
      <c r="H56" s="1">
        <v>0</v>
      </c>
    </row>
    <row r="57" spans="1:8">
      <c r="A57" s="1" t="s">
        <v>5</v>
      </c>
      <c r="B57" s="2">
        <v>0.5372689962387085</v>
      </c>
      <c r="C57" s="1">
        <v>498</v>
      </c>
      <c r="D57" s="1">
        <v>1031</v>
      </c>
      <c r="E57" s="1">
        <v>498</v>
      </c>
      <c r="F57" s="1">
        <v>0</v>
      </c>
      <c r="G57" s="1">
        <v>0</v>
      </c>
      <c r="H57" s="1">
        <v>1031</v>
      </c>
    </row>
    <row r="58" spans="1:8">
      <c r="A58" s="1" t="s">
        <v>17</v>
      </c>
      <c r="B58" s="2">
        <v>0.5307958722114563</v>
      </c>
      <c r="C58" s="1">
        <v>492</v>
      </c>
      <c r="D58" s="1">
        <v>108</v>
      </c>
      <c r="E58" s="1">
        <v>492</v>
      </c>
      <c r="F58" s="1">
        <v>0</v>
      </c>
      <c r="G58" s="1">
        <v>0</v>
      </c>
      <c r="H58" s="1">
        <v>108</v>
      </c>
    </row>
    <row r="59" spans="1:8">
      <c r="A59" s="1" t="s">
        <v>81</v>
      </c>
      <c r="B59" s="2">
        <v>0.5049033761024475</v>
      </c>
      <c r="C59" s="1">
        <v>468</v>
      </c>
      <c r="D59" s="1">
        <v>0</v>
      </c>
      <c r="E59" s="1">
        <v>468</v>
      </c>
      <c r="F59" s="1">
        <v>0</v>
      </c>
      <c r="G59" s="1">
        <v>0</v>
      </c>
      <c r="H59" s="1">
        <v>0</v>
      </c>
    </row>
    <row r="60" spans="1:8">
      <c r="A60" s="1" t="s">
        <v>82</v>
      </c>
      <c r="B60" s="2">
        <v>0.4811686277389526</v>
      </c>
      <c r="C60" s="1">
        <v>446</v>
      </c>
      <c r="D60" s="1">
        <v>0</v>
      </c>
      <c r="E60" s="1">
        <v>446</v>
      </c>
      <c r="F60" s="1">
        <v>0</v>
      </c>
      <c r="G60" s="1">
        <v>0</v>
      </c>
      <c r="H60" s="1">
        <v>0</v>
      </c>
    </row>
    <row r="61" spans="1:8">
      <c r="A61" s="1" t="s">
        <v>28</v>
      </c>
      <c r="B61" s="2">
        <v>0.4693012237548828</v>
      </c>
      <c r="C61" s="1">
        <v>435</v>
      </c>
      <c r="D61" s="1">
        <v>23</v>
      </c>
      <c r="E61" s="1">
        <v>400</v>
      </c>
      <c r="F61" s="1">
        <v>12</v>
      </c>
      <c r="G61" s="1">
        <v>23</v>
      </c>
      <c r="H61" s="1">
        <v>0</v>
      </c>
    </row>
    <row r="62" spans="1:8">
      <c r="A62" s="1" t="s">
        <v>83</v>
      </c>
      <c r="B62" s="2">
        <v>0.4423298835754395</v>
      </c>
      <c r="C62" s="1">
        <v>410</v>
      </c>
      <c r="D62" s="1">
        <v>0</v>
      </c>
      <c r="E62" s="1">
        <v>330</v>
      </c>
      <c r="F62" s="1">
        <v>80</v>
      </c>
      <c r="G62" s="1">
        <v>0</v>
      </c>
      <c r="H62" s="1">
        <v>0</v>
      </c>
    </row>
    <row r="63" spans="1:8">
      <c r="A63" s="1" t="s">
        <v>25</v>
      </c>
      <c r="B63" s="2">
        <v>0.4401721954345703</v>
      </c>
      <c r="C63" s="1">
        <v>408</v>
      </c>
      <c r="D63" s="1">
        <v>44</v>
      </c>
      <c r="E63" s="1">
        <v>344</v>
      </c>
      <c r="F63" s="1">
        <v>20</v>
      </c>
      <c r="G63" s="1">
        <v>44</v>
      </c>
      <c r="H63" s="1">
        <v>0</v>
      </c>
    </row>
    <row r="64" spans="1:8">
      <c r="A64" s="1" t="s">
        <v>84</v>
      </c>
      <c r="B64" s="2">
        <v>0.4315413534641266</v>
      </c>
      <c r="C64" s="1">
        <v>400</v>
      </c>
      <c r="D64" s="1">
        <v>0</v>
      </c>
      <c r="E64" s="1">
        <v>400</v>
      </c>
      <c r="F64" s="1">
        <v>0</v>
      </c>
      <c r="G64" s="1">
        <v>0</v>
      </c>
      <c r="H64" s="1">
        <v>0</v>
      </c>
    </row>
    <row r="65" spans="1:8">
      <c r="A65" s="1" t="s">
        <v>21</v>
      </c>
      <c r="B65" s="2">
        <v>0.4315413534641266</v>
      </c>
      <c r="C65" s="1">
        <v>400</v>
      </c>
      <c r="D65" s="1">
        <v>72</v>
      </c>
      <c r="E65" s="1">
        <v>392</v>
      </c>
      <c r="F65" s="1">
        <v>0</v>
      </c>
      <c r="G65" s="1">
        <v>8</v>
      </c>
      <c r="H65" s="1">
        <v>64</v>
      </c>
    </row>
    <row r="66" spans="1:8">
      <c r="A66" s="1" t="s">
        <v>85</v>
      </c>
      <c r="B66" s="2">
        <v>0.4013334512710571</v>
      </c>
      <c r="C66" s="1">
        <v>372</v>
      </c>
      <c r="D66" s="1">
        <v>0</v>
      </c>
      <c r="E66" s="1">
        <v>340</v>
      </c>
      <c r="F66" s="1">
        <v>32</v>
      </c>
      <c r="G66" s="1">
        <v>0</v>
      </c>
      <c r="H66" s="1">
        <v>0</v>
      </c>
    </row>
    <row r="67" spans="1:8">
      <c r="A67" s="1" t="s">
        <v>86</v>
      </c>
      <c r="B67" s="2">
        <v>0.3948603570461273</v>
      </c>
      <c r="C67" s="1">
        <v>366</v>
      </c>
      <c r="D67" s="1">
        <v>0</v>
      </c>
      <c r="E67" s="1">
        <v>366</v>
      </c>
      <c r="F67" s="1">
        <v>0</v>
      </c>
      <c r="G67" s="1">
        <v>0</v>
      </c>
      <c r="H67" s="1">
        <v>0</v>
      </c>
    </row>
    <row r="68" spans="1:8">
      <c r="A68" s="1" t="s">
        <v>9</v>
      </c>
      <c r="B68" s="2">
        <v>0.3711255788803101</v>
      </c>
      <c r="C68" s="1">
        <v>344</v>
      </c>
      <c r="D68" s="1">
        <v>340</v>
      </c>
      <c r="E68" s="1">
        <v>344</v>
      </c>
      <c r="F68" s="1">
        <v>0</v>
      </c>
      <c r="G68" s="1">
        <v>0</v>
      </c>
      <c r="H68" s="1">
        <v>340</v>
      </c>
    </row>
    <row r="69" spans="1:8">
      <c r="A69" s="1" t="s">
        <v>87</v>
      </c>
      <c r="B69" s="2">
        <v>0.3624947369098663</v>
      </c>
      <c r="C69" s="1">
        <v>336</v>
      </c>
      <c r="D69" s="1">
        <v>0</v>
      </c>
      <c r="E69" s="1">
        <v>336</v>
      </c>
      <c r="F69" s="1">
        <v>0</v>
      </c>
      <c r="G69" s="1">
        <v>0</v>
      </c>
      <c r="H69" s="1">
        <v>0</v>
      </c>
    </row>
    <row r="70" spans="1:8">
      <c r="A70" s="1" t="s">
        <v>88</v>
      </c>
      <c r="B70" s="2">
        <v>0.3603370189666748</v>
      </c>
      <c r="C70" s="1">
        <v>334</v>
      </c>
      <c r="D70" s="1">
        <v>0</v>
      </c>
      <c r="E70" s="1">
        <v>334</v>
      </c>
      <c r="F70" s="1">
        <v>0</v>
      </c>
      <c r="G70" s="1">
        <v>0</v>
      </c>
      <c r="H70" s="1">
        <v>0</v>
      </c>
    </row>
    <row r="71" spans="1:8">
      <c r="A71" s="1" t="s">
        <v>14</v>
      </c>
      <c r="B71" s="2">
        <v>0.3581793308258057</v>
      </c>
      <c r="C71" s="1">
        <v>332</v>
      </c>
      <c r="D71" s="1">
        <v>200</v>
      </c>
      <c r="E71" s="1">
        <v>332</v>
      </c>
      <c r="F71" s="1">
        <v>0</v>
      </c>
      <c r="G71" s="1">
        <v>0</v>
      </c>
      <c r="H71" s="1">
        <v>200</v>
      </c>
    </row>
    <row r="72" spans="1:8">
      <c r="A72" s="1" t="s">
        <v>46</v>
      </c>
      <c r="B72" s="2">
        <v>0.353863924741745</v>
      </c>
      <c r="C72" s="1">
        <v>328</v>
      </c>
      <c r="D72" s="1">
        <v>2</v>
      </c>
      <c r="E72" s="1">
        <v>326</v>
      </c>
      <c r="F72" s="1">
        <v>0</v>
      </c>
      <c r="G72" s="1">
        <v>2</v>
      </c>
      <c r="H72" s="1">
        <v>0</v>
      </c>
    </row>
    <row r="73" spans="1:8">
      <c r="A73" s="1" t="s">
        <v>89</v>
      </c>
      <c r="B73" s="2">
        <v>0.3495484888553619</v>
      </c>
      <c r="C73" s="1">
        <v>324</v>
      </c>
      <c r="D73" s="1">
        <v>0</v>
      </c>
      <c r="E73" s="1">
        <v>324</v>
      </c>
      <c r="F73" s="1">
        <v>0</v>
      </c>
      <c r="G73" s="1">
        <v>0</v>
      </c>
      <c r="H73" s="1">
        <v>0</v>
      </c>
    </row>
    <row r="74" spans="1:8">
      <c r="A74" s="1" t="s">
        <v>90</v>
      </c>
      <c r="B74" s="2">
        <v>0.3441542387008667</v>
      </c>
      <c r="C74" s="1">
        <v>319</v>
      </c>
      <c r="D74" s="1">
        <v>0</v>
      </c>
      <c r="E74" s="1">
        <v>0</v>
      </c>
      <c r="F74" s="1">
        <v>319</v>
      </c>
      <c r="G74" s="1">
        <v>0</v>
      </c>
      <c r="H74" s="1">
        <v>0</v>
      </c>
    </row>
    <row r="75" spans="1:8">
      <c r="A75" s="1" t="s">
        <v>91</v>
      </c>
      <c r="B75" s="2">
        <v>0.3322868347167969</v>
      </c>
      <c r="C75" s="1">
        <v>308</v>
      </c>
      <c r="D75" s="1">
        <v>0</v>
      </c>
      <c r="E75" s="1">
        <v>292</v>
      </c>
      <c r="F75" s="1">
        <v>16</v>
      </c>
      <c r="G75" s="1">
        <v>0</v>
      </c>
      <c r="H75" s="1">
        <v>0</v>
      </c>
    </row>
    <row r="76" spans="1:8">
      <c r="A76" s="1" t="s">
        <v>24</v>
      </c>
      <c r="B76" s="2">
        <v>0.3085520565509796</v>
      </c>
      <c r="C76" s="1">
        <v>286</v>
      </c>
      <c r="D76" s="1">
        <v>64</v>
      </c>
      <c r="E76" s="1">
        <v>286</v>
      </c>
      <c r="F76" s="1">
        <v>0</v>
      </c>
      <c r="G76" s="1">
        <v>0</v>
      </c>
      <c r="H76" s="1">
        <v>64</v>
      </c>
    </row>
    <row r="77" spans="1:8">
      <c r="A77" s="1" t="s">
        <v>42</v>
      </c>
      <c r="B77" s="2">
        <v>0.2934481203556061</v>
      </c>
      <c r="C77" s="1">
        <v>272</v>
      </c>
      <c r="D77" s="1">
        <v>4</v>
      </c>
      <c r="E77" s="1">
        <v>268</v>
      </c>
      <c r="F77" s="1">
        <v>0</v>
      </c>
      <c r="G77" s="1">
        <v>4</v>
      </c>
      <c r="H77" s="1">
        <v>0</v>
      </c>
    </row>
    <row r="78" spans="1:8">
      <c r="A78" s="1" t="s">
        <v>92</v>
      </c>
      <c r="B78" s="2">
        <v>0.2934481203556061</v>
      </c>
      <c r="C78" s="1">
        <v>272</v>
      </c>
      <c r="D78" s="1">
        <v>0</v>
      </c>
      <c r="E78" s="1">
        <v>272</v>
      </c>
      <c r="F78" s="1">
        <v>0</v>
      </c>
      <c r="G78" s="1">
        <v>0</v>
      </c>
      <c r="H78" s="1">
        <v>0</v>
      </c>
    </row>
    <row r="79" spans="1:8">
      <c r="A79" s="1" t="s">
        <v>19</v>
      </c>
      <c r="B79" s="2">
        <v>0.2718710601329804</v>
      </c>
      <c r="C79" s="1">
        <v>252</v>
      </c>
      <c r="D79" s="1">
        <v>84</v>
      </c>
      <c r="E79" s="1">
        <v>252</v>
      </c>
      <c r="F79" s="1">
        <v>0</v>
      </c>
      <c r="G79" s="1">
        <v>0</v>
      </c>
      <c r="H79" s="1">
        <v>84</v>
      </c>
    </row>
    <row r="80" spans="1:8">
      <c r="A80" s="1" t="s">
        <v>13</v>
      </c>
      <c r="B80" s="2">
        <v>0.2610825300216675</v>
      </c>
      <c r="C80" s="1">
        <v>242</v>
      </c>
      <c r="D80" s="1">
        <v>224</v>
      </c>
      <c r="E80" s="1">
        <v>242</v>
      </c>
      <c r="F80" s="1">
        <v>0</v>
      </c>
      <c r="G80" s="1">
        <v>0</v>
      </c>
      <c r="H80" s="1">
        <v>224</v>
      </c>
    </row>
    <row r="81" spans="1:8">
      <c r="A81" s="1" t="s">
        <v>93</v>
      </c>
      <c r="B81" s="2">
        <v>0.2524516880512238</v>
      </c>
      <c r="C81" s="1">
        <v>234</v>
      </c>
      <c r="D81" s="1">
        <v>0</v>
      </c>
      <c r="E81" s="1">
        <v>234</v>
      </c>
      <c r="F81" s="1">
        <v>0</v>
      </c>
      <c r="G81" s="1">
        <v>0</v>
      </c>
      <c r="H81" s="1">
        <v>0</v>
      </c>
    </row>
    <row r="82" spans="1:8">
      <c r="A82" s="1" t="s">
        <v>94</v>
      </c>
      <c r="B82" s="2">
        <v>0.2502939999103546</v>
      </c>
      <c r="C82" s="1">
        <v>232</v>
      </c>
      <c r="D82" s="1">
        <v>0</v>
      </c>
      <c r="E82" s="1">
        <v>200</v>
      </c>
      <c r="F82" s="1">
        <v>32</v>
      </c>
      <c r="G82" s="1">
        <v>0</v>
      </c>
      <c r="H82" s="1">
        <v>0</v>
      </c>
    </row>
    <row r="83" spans="1:8">
      <c r="A83" s="1" t="s">
        <v>95</v>
      </c>
      <c r="B83" s="2">
        <v>0.2459785789251328</v>
      </c>
      <c r="C83" s="1">
        <v>228</v>
      </c>
      <c r="D83" s="1">
        <v>0</v>
      </c>
      <c r="E83" s="1">
        <v>228</v>
      </c>
      <c r="F83" s="1">
        <v>0</v>
      </c>
      <c r="G83" s="1">
        <v>0</v>
      </c>
      <c r="H83" s="1">
        <v>0</v>
      </c>
    </row>
    <row r="84" spans="1:8">
      <c r="A84" s="1" t="s">
        <v>96</v>
      </c>
      <c r="B84" s="2">
        <v>0.2438208609819412</v>
      </c>
      <c r="C84" s="1">
        <v>226</v>
      </c>
      <c r="D84" s="1">
        <v>0</v>
      </c>
      <c r="E84" s="1">
        <v>190</v>
      </c>
      <c r="F84" s="1">
        <v>36</v>
      </c>
      <c r="G84" s="1">
        <v>0</v>
      </c>
      <c r="H84" s="1">
        <v>0</v>
      </c>
    </row>
    <row r="85" spans="1:8">
      <c r="A85" s="1" t="s">
        <v>97</v>
      </c>
      <c r="B85" s="2">
        <v>0.2395054548978806</v>
      </c>
      <c r="C85" s="1">
        <v>222</v>
      </c>
      <c r="D85" s="1">
        <v>0</v>
      </c>
      <c r="E85" s="1">
        <v>222</v>
      </c>
      <c r="F85" s="1">
        <v>0</v>
      </c>
      <c r="G85" s="1">
        <v>0</v>
      </c>
      <c r="H85" s="1">
        <v>0</v>
      </c>
    </row>
    <row r="86" spans="1:8">
      <c r="A86" s="1" t="s">
        <v>98</v>
      </c>
      <c r="B86" s="2">
        <v>0.2373477518558502</v>
      </c>
      <c r="C86" s="1">
        <v>220</v>
      </c>
      <c r="D86" s="1">
        <v>0</v>
      </c>
      <c r="E86" s="1">
        <v>220</v>
      </c>
      <c r="F86" s="1">
        <v>0</v>
      </c>
      <c r="G86" s="1">
        <v>0</v>
      </c>
      <c r="H86" s="1">
        <v>0</v>
      </c>
    </row>
    <row r="87" spans="1:8">
      <c r="A87" s="1" t="s">
        <v>18</v>
      </c>
      <c r="B87" s="2">
        <v>0.2373477518558502</v>
      </c>
      <c r="C87" s="1">
        <v>220</v>
      </c>
      <c r="D87" s="1">
        <v>100</v>
      </c>
      <c r="E87" s="1">
        <v>220</v>
      </c>
      <c r="F87" s="1">
        <v>0</v>
      </c>
      <c r="G87" s="1">
        <v>0</v>
      </c>
      <c r="H87" s="1">
        <v>100</v>
      </c>
    </row>
    <row r="88" spans="1:8">
      <c r="A88" s="1" t="s">
        <v>99</v>
      </c>
      <c r="B88" s="2">
        <v>0.2373477518558502</v>
      </c>
      <c r="C88" s="1">
        <v>220</v>
      </c>
      <c r="D88" s="1">
        <v>0</v>
      </c>
      <c r="E88" s="1">
        <v>204</v>
      </c>
      <c r="F88" s="1">
        <v>16</v>
      </c>
      <c r="G88" s="1">
        <v>0</v>
      </c>
      <c r="H88" s="1">
        <v>0</v>
      </c>
    </row>
    <row r="89" spans="1:8">
      <c r="A89" s="1" t="s">
        <v>100</v>
      </c>
      <c r="B89" s="2">
        <v>0.2200860977172852</v>
      </c>
      <c r="C89" s="1">
        <v>204</v>
      </c>
      <c r="D89" s="1">
        <v>0</v>
      </c>
      <c r="E89" s="1">
        <v>204</v>
      </c>
      <c r="F89" s="1">
        <v>0</v>
      </c>
      <c r="G89" s="1">
        <v>0</v>
      </c>
      <c r="H89" s="1">
        <v>0</v>
      </c>
    </row>
    <row r="90" spans="1:8">
      <c r="A90" s="1" t="s">
        <v>29</v>
      </c>
      <c r="B90" s="2">
        <v>0.2071398496627808</v>
      </c>
      <c r="C90" s="1">
        <v>192</v>
      </c>
      <c r="D90" s="1">
        <v>20</v>
      </c>
      <c r="E90" s="1">
        <v>192</v>
      </c>
      <c r="F90" s="1">
        <v>0</v>
      </c>
      <c r="G90" s="1">
        <v>0</v>
      </c>
      <c r="H90" s="1">
        <v>20</v>
      </c>
    </row>
    <row r="91" spans="1:8">
      <c r="A91" s="1" t="s">
        <v>101</v>
      </c>
      <c r="B91" s="2">
        <v>0.2006667256355286</v>
      </c>
      <c r="C91" s="1">
        <v>186</v>
      </c>
      <c r="D91" s="1">
        <v>0</v>
      </c>
      <c r="E91" s="1">
        <v>186</v>
      </c>
      <c r="F91" s="1">
        <v>0</v>
      </c>
      <c r="G91" s="1">
        <v>0</v>
      </c>
      <c r="H91" s="1">
        <v>0</v>
      </c>
    </row>
    <row r="92" spans="1:8">
      <c r="A92" s="1" t="s">
        <v>102</v>
      </c>
      <c r="B92" s="2">
        <v>0.1898781955242157</v>
      </c>
      <c r="C92" s="1">
        <v>176</v>
      </c>
      <c r="D92" s="1">
        <v>0</v>
      </c>
      <c r="E92" s="1">
        <v>176</v>
      </c>
      <c r="F92" s="1">
        <v>0</v>
      </c>
      <c r="G92" s="1">
        <v>0</v>
      </c>
      <c r="H92" s="1">
        <v>0</v>
      </c>
    </row>
    <row r="93" spans="1:8">
      <c r="A93" s="1" t="s">
        <v>103</v>
      </c>
      <c r="B93" s="2">
        <v>0.1898781955242157</v>
      </c>
      <c r="C93" s="1">
        <v>176</v>
      </c>
      <c r="D93" s="1">
        <v>0</v>
      </c>
      <c r="E93" s="1">
        <v>176</v>
      </c>
      <c r="F93" s="1">
        <v>0</v>
      </c>
      <c r="G93" s="1">
        <v>0</v>
      </c>
      <c r="H93" s="1">
        <v>0</v>
      </c>
    </row>
    <row r="94" spans="1:8">
      <c r="A94" s="1" t="s">
        <v>104</v>
      </c>
      <c r="B94" s="2">
        <v>0.1898781955242157</v>
      </c>
      <c r="C94" s="1">
        <v>176</v>
      </c>
      <c r="D94" s="1">
        <v>0</v>
      </c>
      <c r="E94" s="1">
        <v>176</v>
      </c>
      <c r="F94" s="1">
        <v>0</v>
      </c>
      <c r="G94" s="1">
        <v>0</v>
      </c>
      <c r="H94" s="1">
        <v>0</v>
      </c>
    </row>
    <row r="95" spans="1:8">
      <c r="A95" s="1" t="s">
        <v>34</v>
      </c>
      <c r="B95" s="2">
        <v>0.185562789440155</v>
      </c>
      <c r="C95" s="1">
        <v>172</v>
      </c>
      <c r="D95" s="1">
        <v>12</v>
      </c>
      <c r="E95" s="1">
        <v>148</v>
      </c>
      <c r="F95" s="1">
        <v>12</v>
      </c>
      <c r="G95" s="1">
        <v>12</v>
      </c>
      <c r="H95" s="1">
        <v>0</v>
      </c>
    </row>
    <row r="96" spans="1:8">
      <c r="A96" s="1" t="s">
        <v>105</v>
      </c>
      <c r="B96" s="2">
        <v>0.1726165413856506</v>
      </c>
      <c r="C96" s="1">
        <v>160</v>
      </c>
      <c r="D96" s="1">
        <v>0</v>
      </c>
      <c r="E96" s="1">
        <v>160</v>
      </c>
      <c r="F96" s="1">
        <v>0</v>
      </c>
      <c r="G96" s="1">
        <v>0</v>
      </c>
      <c r="H96" s="1">
        <v>0</v>
      </c>
    </row>
    <row r="97" spans="1:8">
      <c r="A97" s="1" t="s">
        <v>106</v>
      </c>
      <c r="B97" s="2">
        <v>0.1704588383436203</v>
      </c>
      <c r="C97" s="1">
        <v>158</v>
      </c>
      <c r="D97" s="1">
        <v>0</v>
      </c>
      <c r="E97" s="1">
        <v>158</v>
      </c>
      <c r="F97" s="1">
        <v>0</v>
      </c>
      <c r="G97" s="1">
        <v>0</v>
      </c>
      <c r="H97" s="1">
        <v>0</v>
      </c>
    </row>
    <row r="98" spans="1:8">
      <c r="A98" s="1" t="s">
        <v>107</v>
      </c>
      <c r="B98" s="2">
        <v>0.1661434173583984</v>
      </c>
      <c r="C98" s="1">
        <v>154</v>
      </c>
      <c r="D98" s="1">
        <v>0</v>
      </c>
      <c r="E98" s="1">
        <v>154</v>
      </c>
      <c r="F98" s="1">
        <v>0</v>
      </c>
      <c r="G98" s="1">
        <v>0</v>
      </c>
      <c r="H98" s="1">
        <v>0</v>
      </c>
    </row>
    <row r="99" spans="1:8">
      <c r="A99" s="1" t="s">
        <v>108</v>
      </c>
      <c r="B99" s="2">
        <v>0.1639857143163681</v>
      </c>
      <c r="C99" s="1">
        <v>152</v>
      </c>
      <c r="D99" s="1">
        <v>0</v>
      </c>
      <c r="E99" s="1">
        <v>152</v>
      </c>
      <c r="F99" s="1">
        <v>0</v>
      </c>
      <c r="G99" s="1">
        <v>0</v>
      </c>
      <c r="H99" s="1">
        <v>0</v>
      </c>
    </row>
    <row r="100" spans="1:8">
      <c r="A100" s="1" t="s">
        <v>109</v>
      </c>
      <c r="B100" s="2">
        <v>0.1553548872470856</v>
      </c>
      <c r="C100" s="1">
        <v>144</v>
      </c>
      <c r="D100" s="1">
        <v>0</v>
      </c>
      <c r="E100" s="1">
        <v>144</v>
      </c>
      <c r="F100" s="1">
        <v>0</v>
      </c>
      <c r="G100" s="1">
        <v>0</v>
      </c>
      <c r="H100" s="1">
        <v>0</v>
      </c>
    </row>
    <row r="101" spans="1:8">
      <c r="A101" s="1" t="s">
        <v>110</v>
      </c>
      <c r="B101" s="2">
        <v>0.1531971842050552</v>
      </c>
      <c r="C101" s="1">
        <v>142</v>
      </c>
      <c r="D101" s="1">
        <v>0</v>
      </c>
      <c r="E101" s="1">
        <v>142</v>
      </c>
      <c r="F101" s="1">
        <v>0</v>
      </c>
      <c r="G101" s="1">
        <v>0</v>
      </c>
      <c r="H101" s="1">
        <v>0</v>
      </c>
    </row>
    <row r="102" spans="1:8">
      <c r="A102" s="1" t="s">
        <v>111</v>
      </c>
      <c r="B102" s="2">
        <v>0.1488817632198334</v>
      </c>
      <c r="C102" s="1">
        <v>138</v>
      </c>
      <c r="D102" s="1">
        <v>0</v>
      </c>
      <c r="E102" s="1">
        <v>138</v>
      </c>
      <c r="F102" s="1">
        <v>0</v>
      </c>
      <c r="G102" s="1">
        <v>0</v>
      </c>
      <c r="H102" s="1">
        <v>0</v>
      </c>
    </row>
    <row r="103" spans="1:8">
      <c r="A103" s="1" t="s">
        <v>20</v>
      </c>
      <c r="B103" s="2">
        <v>0.146724060177803</v>
      </c>
      <c r="C103" s="1">
        <v>136</v>
      </c>
      <c r="D103" s="1">
        <v>76</v>
      </c>
      <c r="E103" s="1">
        <v>136</v>
      </c>
      <c r="F103" s="1">
        <v>0</v>
      </c>
      <c r="G103" s="1">
        <v>0</v>
      </c>
      <c r="H103" s="1">
        <v>76</v>
      </c>
    </row>
    <row r="104" spans="1:8">
      <c r="A104" s="1" t="s">
        <v>112</v>
      </c>
      <c r="B104" s="2">
        <v>0.1424086540937424</v>
      </c>
      <c r="C104" s="1">
        <v>132</v>
      </c>
      <c r="D104" s="1">
        <v>0</v>
      </c>
      <c r="E104" s="1">
        <v>132</v>
      </c>
      <c r="F104" s="1">
        <v>0</v>
      </c>
      <c r="G104" s="1">
        <v>0</v>
      </c>
      <c r="H104" s="1">
        <v>0</v>
      </c>
    </row>
    <row r="105" spans="1:8">
      <c r="A105" s="1" t="s">
        <v>33</v>
      </c>
      <c r="B105" s="2">
        <v>0.1359355300664902</v>
      </c>
      <c r="C105" s="1">
        <v>126</v>
      </c>
      <c r="D105" s="1">
        <v>12</v>
      </c>
      <c r="E105" s="1">
        <v>102</v>
      </c>
      <c r="F105" s="1">
        <v>12</v>
      </c>
      <c r="G105" s="1">
        <v>12</v>
      </c>
      <c r="H105" s="1">
        <v>0</v>
      </c>
    </row>
    <row r="106" spans="1:8">
      <c r="A106" s="1" t="s">
        <v>113</v>
      </c>
      <c r="B106" s="2">
        <v>0.129462406039238</v>
      </c>
      <c r="C106" s="1">
        <v>120</v>
      </c>
      <c r="D106" s="1">
        <v>0</v>
      </c>
      <c r="E106" s="1">
        <v>120</v>
      </c>
      <c r="F106" s="1">
        <v>0</v>
      </c>
      <c r="G106" s="1">
        <v>0</v>
      </c>
      <c r="H106" s="1">
        <v>0</v>
      </c>
    </row>
    <row r="107" spans="1:8">
      <c r="A107" s="1" t="s">
        <v>16</v>
      </c>
      <c r="B107" s="2">
        <v>0.129462406039238</v>
      </c>
      <c r="C107" s="1">
        <v>120</v>
      </c>
      <c r="D107" s="1">
        <v>128</v>
      </c>
      <c r="E107" s="1">
        <v>120</v>
      </c>
      <c r="F107" s="1">
        <v>0</v>
      </c>
      <c r="G107" s="1">
        <v>0</v>
      </c>
      <c r="H107" s="1">
        <v>128</v>
      </c>
    </row>
    <row r="108" spans="1:8">
      <c r="A108" s="1" t="s">
        <v>114</v>
      </c>
      <c r="B108" s="2">
        <v>0.1273047029972076</v>
      </c>
      <c r="C108" s="1">
        <v>118</v>
      </c>
      <c r="D108" s="1">
        <v>0</v>
      </c>
      <c r="E108" s="1">
        <v>118</v>
      </c>
      <c r="F108" s="1">
        <v>0</v>
      </c>
      <c r="G108" s="1">
        <v>0</v>
      </c>
      <c r="H108" s="1">
        <v>0</v>
      </c>
    </row>
    <row r="109" spans="1:8">
      <c r="A109" s="1" t="s">
        <v>115</v>
      </c>
      <c r="B109" s="2">
        <v>0.1251469999551773</v>
      </c>
      <c r="C109" s="1">
        <v>116</v>
      </c>
      <c r="D109" s="1">
        <v>0</v>
      </c>
      <c r="E109" s="1">
        <v>116</v>
      </c>
      <c r="F109" s="1">
        <v>0</v>
      </c>
      <c r="G109" s="1">
        <v>0</v>
      </c>
      <c r="H109" s="1">
        <v>0</v>
      </c>
    </row>
    <row r="110" spans="1:8">
      <c r="A110" s="1" t="s">
        <v>116</v>
      </c>
      <c r="B110" s="2">
        <v>0.1251469999551773</v>
      </c>
      <c r="C110" s="1">
        <v>116</v>
      </c>
      <c r="D110" s="1">
        <v>0</v>
      </c>
      <c r="E110" s="1">
        <v>116</v>
      </c>
      <c r="F110" s="1">
        <v>0</v>
      </c>
      <c r="G110" s="1">
        <v>0</v>
      </c>
      <c r="H110" s="1">
        <v>0</v>
      </c>
    </row>
    <row r="111" spans="1:8">
      <c r="A111" s="1" t="s">
        <v>117</v>
      </c>
      <c r="B111" s="2">
        <v>0.1208315789699554</v>
      </c>
      <c r="C111" s="1">
        <v>112</v>
      </c>
      <c r="D111" s="1">
        <v>0</v>
      </c>
      <c r="E111" s="1">
        <v>112</v>
      </c>
      <c r="F111" s="1">
        <v>0</v>
      </c>
      <c r="G111" s="1">
        <v>0</v>
      </c>
      <c r="H111" s="1">
        <v>0</v>
      </c>
    </row>
    <row r="112" spans="1:8">
      <c r="A112" s="1" t="s">
        <v>118</v>
      </c>
      <c r="B112" s="2">
        <v>0.1186738759279251</v>
      </c>
      <c r="C112" s="1">
        <v>110</v>
      </c>
      <c r="D112" s="1">
        <v>0</v>
      </c>
      <c r="E112" s="1">
        <v>110</v>
      </c>
      <c r="F112" s="1">
        <v>0</v>
      </c>
      <c r="G112" s="1">
        <v>0</v>
      </c>
      <c r="H112" s="1">
        <v>0</v>
      </c>
    </row>
    <row r="113" spans="1:8">
      <c r="A113" s="1" t="s">
        <v>31</v>
      </c>
      <c r="B113" s="2">
        <v>0.1143584623932838</v>
      </c>
      <c r="C113" s="1">
        <v>106</v>
      </c>
      <c r="D113" s="1">
        <v>12</v>
      </c>
      <c r="E113" s="1">
        <v>94</v>
      </c>
      <c r="F113" s="1">
        <v>0</v>
      </c>
      <c r="G113" s="1">
        <v>12</v>
      </c>
      <c r="H113" s="1">
        <v>0</v>
      </c>
    </row>
    <row r="114" spans="1:8">
      <c r="A114" s="1" t="s">
        <v>119</v>
      </c>
      <c r="B114" s="2">
        <v>0.1057276353240013</v>
      </c>
      <c r="C114" s="1">
        <v>98</v>
      </c>
      <c r="D114" s="1">
        <v>0</v>
      </c>
      <c r="E114" s="1">
        <v>98</v>
      </c>
      <c r="F114" s="1">
        <v>0</v>
      </c>
      <c r="G114" s="1">
        <v>0</v>
      </c>
      <c r="H114" s="1">
        <v>0</v>
      </c>
    </row>
    <row r="115" spans="1:8">
      <c r="A115" s="1" t="s">
        <v>120</v>
      </c>
      <c r="B115" s="2">
        <v>0.1057276353240013</v>
      </c>
      <c r="C115" s="1">
        <v>98</v>
      </c>
      <c r="D115" s="1">
        <v>0</v>
      </c>
      <c r="E115" s="1">
        <v>98</v>
      </c>
      <c r="F115" s="1">
        <v>0</v>
      </c>
      <c r="G115" s="1">
        <v>0</v>
      </c>
      <c r="H115" s="1">
        <v>0</v>
      </c>
    </row>
    <row r="116" spans="1:8">
      <c r="A116" s="1" t="s">
        <v>121</v>
      </c>
      <c r="B116" s="2">
        <v>0.1057276353240013</v>
      </c>
      <c r="C116" s="1">
        <v>98</v>
      </c>
      <c r="D116" s="1">
        <v>0</v>
      </c>
      <c r="E116" s="1">
        <v>98</v>
      </c>
      <c r="F116" s="1">
        <v>0</v>
      </c>
      <c r="G116" s="1">
        <v>0</v>
      </c>
      <c r="H116" s="1">
        <v>0</v>
      </c>
    </row>
    <row r="117" spans="1:8">
      <c r="A117" s="1" t="s">
        <v>122</v>
      </c>
      <c r="B117" s="2">
        <v>0.09925451129674912</v>
      </c>
      <c r="C117" s="1">
        <v>92</v>
      </c>
      <c r="D117" s="1">
        <v>0</v>
      </c>
      <c r="E117" s="1">
        <v>92</v>
      </c>
      <c r="F117" s="1">
        <v>0</v>
      </c>
      <c r="G117" s="1">
        <v>0</v>
      </c>
      <c r="H117" s="1">
        <v>0</v>
      </c>
    </row>
    <row r="118" spans="1:8">
      <c r="A118" s="1" t="s">
        <v>123</v>
      </c>
      <c r="B118" s="2">
        <v>0.09493909776210785</v>
      </c>
      <c r="C118" s="1">
        <v>88</v>
      </c>
      <c r="D118" s="1">
        <v>0</v>
      </c>
      <c r="E118" s="1">
        <v>88</v>
      </c>
      <c r="F118" s="1">
        <v>0</v>
      </c>
      <c r="G118" s="1">
        <v>0</v>
      </c>
      <c r="H118" s="1">
        <v>0</v>
      </c>
    </row>
    <row r="119" spans="1:8">
      <c r="A119" s="1" t="s">
        <v>124</v>
      </c>
      <c r="B119" s="2">
        <v>0.09493909776210785</v>
      </c>
      <c r="C119" s="1">
        <v>88</v>
      </c>
      <c r="D119" s="1">
        <v>0</v>
      </c>
      <c r="E119" s="1">
        <v>88</v>
      </c>
      <c r="F119" s="1">
        <v>0</v>
      </c>
      <c r="G119" s="1">
        <v>0</v>
      </c>
      <c r="H119" s="1">
        <v>0</v>
      </c>
    </row>
    <row r="120" spans="1:8">
      <c r="A120" s="1" t="s">
        <v>125</v>
      </c>
      <c r="B120" s="2">
        <v>0.09278139472007752</v>
      </c>
      <c r="C120" s="1">
        <v>86</v>
      </c>
      <c r="D120" s="1">
        <v>0</v>
      </c>
      <c r="E120" s="1">
        <v>86</v>
      </c>
      <c r="F120" s="1">
        <v>0</v>
      </c>
      <c r="G120" s="1">
        <v>0</v>
      </c>
      <c r="H120" s="1">
        <v>0</v>
      </c>
    </row>
    <row r="121" spans="1:8">
      <c r="A121" s="1" t="s">
        <v>126</v>
      </c>
      <c r="B121" s="2">
        <v>0.09062368422746658</v>
      </c>
      <c r="C121" s="1">
        <v>84</v>
      </c>
      <c r="D121" s="1">
        <v>0</v>
      </c>
      <c r="E121" s="1">
        <v>84</v>
      </c>
      <c r="F121" s="1">
        <v>0</v>
      </c>
      <c r="G121" s="1">
        <v>0</v>
      </c>
      <c r="H121" s="1">
        <v>0</v>
      </c>
    </row>
    <row r="122" spans="1:8">
      <c r="A122" s="1" t="s">
        <v>44</v>
      </c>
      <c r="B122" s="2">
        <v>0.09062368422746658</v>
      </c>
      <c r="C122" s="1">
        <v>84</v>
      </c>
      <c r="D122" s="1">
        <v>4</v>
      </c>
      <c r="E122" s="1">
        <v>48</v>
      </c>
      <c r="F122" s="1">
        <v>32</v>
      </c>
      <c r="G122" s="1">
        <v>4</v>
      </c>
      <c r="H122" s="1">
        <v>0</v>
      </c>
    </row>
    <row r="123" spans="1:8">
      <c r="A123" s="1" t="s">
        <v>127</v>
      </c>
      <c r="B123" s="2">
        <v>0.08846598118543625</v>
      </c>
      <c r="C123" s="1">
        <v>82</v>
      </c>
      <c r="D123" s="1">
        <v>0</v>
      </c>
      <c r="E123" s="1">
        <v>82</v>
      </c>
      <c r="F123" s="1">
        <v>0</v>
      </c>
      <c r="G123" s="1">
        <v>0</v>
      </c>
      <c r="H123" s="1">
        <v>0</v>
      </c>
    </row>
    <row r="124" spans="1:8">
      <c r="A124" s="1" t="s">
        <v>128</v>
      </c>
      <c r="B124" s="2">
        <v>0.08846598118543625</v>
      </c>
      <c r="C124" s="1">
        <v>82</v>
      </c>
      <c r="D124" s="1">
        <v>0</v>
      </c>
      <c r="E124" s="1">
        <v>82</v>
      </c>
      <c r="F124" s="1">
        <v>0</v>
      </c>
      <c r="G124" s="1">
        <v>0</v>
      </c>
      <c r="H124" s="1">
        <v>0</v>
      </c>
    </row>
    <row r="125" spans="1:8">
      <c r="A125" s="1" t="s">
        <v>129</v>
      </c>
      <c r="B125" s="2">
        <v>0.08199285715818405</v>
      </c>
      <c r="C125" s="1">
        <v>76</v>
      </c>
      <c r="D125" s="1">
        <v>0</v>
      </c>
      <c r="E125" s="1">
        <v>76</v>
      </c>
      <c r="F125" s="1">
        <v>0</v>
      </c>
      <c r="G125" s="1">
        <v>0</v>
      </c>
      <c r="H125" s="1">
        <v>0</v>
      </c>
    </row>
    <row r="126" spans="1:8">
      <c r="A126" s="1" t="s">
        <v>26</v>
      </c>
      <c r="B126" s="2">
        <v>0.08199285715818405</v>
      </c>
      <c r="C126" s="1">
        <v>76</v>
      </c>
      <c r="D126" s="1">
        <v>40</v>
      </c>
      <c r="E126" s="1">
        <v>76</v>
      </c>
      <c r="F126" s="1">
        <v>0</v>
      </c>
      <c r="G126" s="1">
        <v>0</v>
      </c>
      <c r="H126" s="1">
        <v>40</v>
      </c>
    </row>
    <row r="127" spans="1:8">
      <c r="A127" s="1" t="s">
        <v>130</v>
      </c>
      <c r="B127" s="2">
        <v>0.07120432704687119</v>
      </c>
      <c r="C127" s="1">
        <v>66</v>
      </c>
      <c r="D127" s="1">
        <v>0</v>
      </c>
      <c r="E127" s="1">
        <v>66</v>
      </c>
      <c r="F127" s="1">
        <v>0</v>
      </c>
      <c r="G127" s="1">
        <v>0</v>
      </c>
      <c r="H127" s="1">
        <v>0</v>
      </c>
    </row>
    <row r="128" spans="1:8">
      <c r="A128" s="1" t="s">
        <v>131</v>
      </c>
      <c r="B128" s="2">
        <v>0.06473120301961899</v>
      </c>
      <c r="C128" s="1">
        <v>60</v>
      </c>
      <c r="D128" s="1">
        <v>0</v>
      </c>
      <c r="E128" s="1">
        <v>60</v>
      </c>
      <c r="F128" s="1">
        <v>0</v>
      </c>
      <c r="G128" s="1">
        <v>0</v>
      </c>
      <c r="H128" s="1">
        <v>0</v>
      </c>
    </row>
    <row r="129" spans="1:8">
      <c r="A129" s="1" t="s">
        <v>132</v>
      </c>
      <c r="B129" s="2">
        <v>0.06473120301961899</v>
      </c>
      <c r="C129" s="1">
        <v>60</v>
      </c>
      <c r="D129" s="1">
        <v>0</v>
      </c>
      <c r="E129" s="1">
        <v>60</v>
      </c>
      <c r="F129" s="1">
        <v>0</v>
      </c>
      <c r="G129" s="1">
        <v>0</v>
      </c>
      <c r="H129" s="1">
        <v>0</v>
      </c>
    </row>
    <row r="130" spans="1:8">
      <c r="A130" s="1" t="s">
        <v>133</v>
      </c>
      <c r="B130" s="2">
        <v>0.06257349997758865</v>
      </c>
      <c r="C130" s="1">
        <v>58</v>
      </c>
      <c r="D130" s="1">
        <v>0</v>
      </c>
      <c r="E130" s="1">
        <v>58</v>
      </c>
      <c r="F130" s="1">
        <v>0</v>
      </c>
      <c r="G130" s="1">
        <v>0</v>
      </c>
      <c r="H130" s="1">
        <v>0</v>
      </c>
    </row>
    <row r="131" spans="1:8">
      <c r="A131" s="1" t="s">
        <v>134</v>
      </c>
      <c r="B131" s="2">
        <v>0.05825808271765709</v>
      </c>
      <c r="C131" s="1">
        <v>54</v>
      </c>
      <c r="D131" s="1">
        <v>0</v>
      </c>
      <c r="E131" s="1">
        <v>54</v>
      </c>
      <c r="F131" s="1">
        <v>0</v>
      </c>
      <c r="G131" s="1">
        <v>0</v>
      </c>
      <c r="H131" s="1">
        <v>0</v>
      </c>
    </row>
    <row r="132" spans="1:8">
      <c r="A132" s="1" t="s">
        <v>36</v>
      </c>
      <c r="B132" s="2">
        <v>0.05825808271765709</v>
      </c>
      <c r="C132" s="1">
        <v>54</v>
      </c>
      <c r="D132" s="1">
        <v>8</v>
      </c>
      <c r="E132" s="1">
        <v>34</v>
      </c>
      <c r="F132" s="1">
        <v>12</v>
      </c>
      <c r="G132" s="1">
        <v>8</v>
      </c>
      <c r="H132" s="1">
        <v>0</v>
      </c>
    </row>
    <row r="133" spans="1:8">
      <c r="A133" s="1" t="s">
        <v>135</v>
      </c>
      <c r="B133" s="2">
        <v>0.05610037595033646</v>
      </c>
      <c r="C133" s="1">
        <v>52</v>
      </c>
      <c r="D133" s="1">
        <v>0</v>
      </c>
      <c r="E133" s="1">
        <v>52</v>
      </c>
      <c r="F133" s="1">
        <v>0</v>
      </c>
      <c r="G133" s="1">
        <v>0</v>
      </c>
      <c r="H133" s="1">
        <v>0</v>
      </c>
    </row>
    <row r="134" spans="1:8">
      <c r="A134" s="1" t="s">
        <v>136</v>
      </c>
      <c r="B134" s="2">
        <v>0.05178496241569519</v>
      </c>
      <c r="C134" s="1">
        <v>48</v>
      </c>
      <c r="D134" s="1">
        <v>0</v>
      </c>
      <c r="E134" s="1">
        <v>48</v>
      </c>
      <c r="F134" s="1">
        <v>0</v>
      </c>
      <c r="G134" s="1">
        <v>0</v>
      </c>
      <c r="H134" s="1">
        <v>0</v>
      </c>
    </row>
    <row r="135" spans="1:8">
      <c r="A135" s="1" t="s">
        <v>137</v>
      </c>
      <c r="B135" s="2">
        <v>0.05178496241569519</v>
      </c>
      <c r="C135" s="1">
        <v>48</v>
      </c>
      <c r="D135" s="1">
        <v>0</v>
      </c>
      <c r="E135" s="1">
        <v>48</v>
      </c>
      <c r="F135" s="1">
        <v>0</v>
      </c>
      <c r="G135" s="1">
        <v>0</v>
      </c>
      <c r="H135" s="1">
        <v>0</v>
      </c>
    </row>
    <row r="136" spans="1:8">
      <c r="A136" s="1" t="s">
        <v>138</v>
      </c>
      <c r="B136" s="2">
        <v>0.05178496241569519</v>
      </c>
      <c r="C136" s="1">
        <v>48</v>
      </c>
      <c r="D136" s="1">
        <v>0</v>
      </c>
      <c r="E136" s="1">
        <v>48</v>
      </c>
      <c r="F136" s="1">
        <v>0</v>
      </c>
      <c r="G136" s="1">
        <v>0</v>
      </c>
      <c r="H136" s="1">
        <v>0</v>
      </c>
    </row>
    <row r="137" spans="1:8">
      <c r="A137" s="1" t="s">
        <v>139</v>
      </c>
      <c r="B137" s="2">
        <v>0.04746954888105393</v>
      </c>
      <c r="C137" s="1">
        <v>44</v>
      </c>
      <c r="D137" s="1">
        <v>0</v>
      </c>
      <c r="E137" s="1">
        <v>44</v>
      </c>
      <c r="F137" s="1">
        <v>0</v>
      </c>
      <c r="G137" s="1">
        <v>0</v>
      </c>
      <c r="H137" s="1">
        <v>0</v>
      </c>
    </row>
    <row r="138" spans="1:8">
      <c r="A138" s="1" t="s">
        <v>140</v>
      </c>
      <c r="B138" s="2">
        <v>0.04746954888105393</v>
      </c>
      <c r="C138" s="1">
        <v>44</v>
      </c>
      <c r="D138" s="1">
        <v>0</v>
      </c>
      <c r="E138" s="1">
        <v>44</v>
      </c>
      <c r="F138" s="1">
        <v>0</v>
      </c>
      <c r="G138" s="1">
        <v>0</v>
      </c>
      <c r="H138" s="1">
        <v>0</v>
      </c>
    </row>
    <row r="139" spans="1:8">
      <c r="A139" s="1" t="s">
        <v>40</v>
      </c>
      <c r="B139" s="2">
        <v>0.04746954888105393</v>
      </c>
      <c r="C139" s="1">
        <v>44</v>
      </c>
      <c r="D139" s="1">
        <v>4</v>
      </c>
      <c r="E139" s="1">
        <v>16</v>
      </c>
      <c r="F139" s="1">
        <v>24</v>
      </c>
      <c r="G139" s="1">
        <v>4</v>
      </c>
      <c r="H139" s="1">
        <v>0</v>
      </c>
    </row>
    <row r="140" spans="1:8">
      <c r="A140" s="1" t="s">
        <v>141</v>
      </c>
      <c r="B140" s="2">
        <v>0.04746954888105393</v>
      </c>
      <c r="C140" s="1">
        <v>44</v>
      </c>
      <c r="D140" s="1">
        <v>0</v>
      </c>
      <c r="E140" s="1">
        <v>44</v>
      </c>
      <c r="F140" s="1">
        <v>0</v>
      </c>
      <c r="G140" s="1">
        <v>0</v>
      </c>
      <c r="H140" s="1">
        <v>0</v>
      </c>
    </row>
    <row r="141" spans="1:8">
      <c r="A141" s="1" t="s">
        <v>142</v>
      </c>
      <c r="B141" s="2">
        <v>0.04746954888105393</v>
      </c>
      <c r="C141" s="1">
        <v>44</v>
      </c>
      <c r="D141" s="1">
        <v>0</v>
      </c>
      <c r="E141" s="1">
        <v>44</v>
      </c>
      <c r="F141" s="1">
        <v>0</v>
      </c>
      <c r="G141" s="1">
        <v>0</v>
      </c>
      <c r="H141" s="1">
        <v>0</v>
      </c>
    </row>
    <row r="142" spans="1:8">
      <c r="A142" s="1" t="s">
        <v>143</v>
      </c>
      <c r="B142" s="2">
        <v>0.04099642857909203</v>
      </c>
      <c r="C142" s="1">
        <v>38</v>
      </c>
      <c r="D142" s="1">
        <v>0</v>
      </c>
      <c r="E142" s="1">
        <v>38</v>
      </c>
      <c r="F142" s="1">
        <v>0</v>
      </c>
      <c r="G142" s="1">
        <v>0</v>
      </c>
      <c r="H142" s="1">
        <v>0</v>
      </c>
    </row>
    <row r="143" spans="1:8">
      <c r="A143" s="1" t="s">
        <v>144</v>
      </c>
      <c r="B143" s="2">
        <v>0.03883872181177139</v>
      </c>
      <c r="C143" s="1">
        <v>36</v>
      </c>
      <c r="D143" s="1">
        <v>0</v>
      </c>
      <c r="E143" s="1">
        <v>36</v>
      </c>
      <c r="F143" s="1">
        <v>0</v>
      </c>
      <c r="G143" s="1">
        <v>0</v>
      </c>
      <c r="H143" s="1">
        <v>0</v>
      </c>
    </row>
    <row r="144" spans="1:8">
      <c r="A144" s="1" t="s">
        <v>145</v>
      </c>
      <c r="B144" s="2">
        <v>0.03883872181177139</v>
      </c>
      <c r="C144" s="1">
        <v>36</v>
      </c>
      <c r="D144" s="1">
        <v>0</v>
      </c>
      <c r="E144" s="1">
        <v>36</v>
      </c>
      <c r="F144" s="1">
        <v>0</v>
      </c>
      <c r="G144" s="1">
        <v>0</v>
      </c>
      <c r="H144" s="1">
        <v>0</v>
      </c>
    </row>
    <row r="145" spans="1:8">
      <c r="A145" s="1" t="s">
        <v>146</v>
      </c>
      <c r="B145" s="2">
        <v>0.03883872181177139</v>
      </c>
      <c r="C145" s="1">
        <v>36</v>
      </c>
      <c r="D145" s="1">
        <v>0</v>
      </c>
      <c r="E145" s="1">
        <v>36</v>
      </c>
      <c r="F145" s="1">
        <v>0</v>
      </c>
      <c r="G145" s="1">
        <v>0</v>
      </c>
      <c r="H145" s="1">
        <v>0</v>
      </c>
    </row>
    <row r="146" spans="1:8">
      <c r="A146" s="1" t="s">
        <v>147</v>
      </c>
      <c r="B146" s="2">
        <v>0.03883872181177139</v>
      </c>
      <c r="C146" s="1">
        <v>36</v>
      </c>
      <c r="D146" s="1">
        <v>0</v>
      </c>
      <c r="E146" s="1">
        <v>36</v>
      </c>
      <c r="F146" s="1">
        <v>0</v>
      </c>
      <c r="G146" s="1">
        <v>0</v>
      </c>
      <c r="H146" s="1">
        <v>0</v>
      </c>
    </row>
    <row r="147" spans="1:8">
      <c r="A147" s="1" t="s">
        <v>148</v>
      </c>
      <c r="B147" s="2">
        <v>0.03883872181177139</v>
      </c>
      <c r="C147" s="1">
        <v>36</v>
      </c>
      <c r="D147" s="1">
        <v>0</v>
      </c>
      <c r="E147" s="1">
        <v>36</v>
      </c>
      <c r="F147" s="1">
        <v>0</v>
      </c>
      <c r="G147" s="1">
        <v>0</v>
      </c>
      <c r="H147" s="1">
        <v>0</v>
      </c>
    </row>
    <row r="148" spans="1:8">
      <c r="A148" s="1" t="s">
        <v>149</v>
      </c>
      <c r="B148" s="2">
        <v>0.03452330827713013</v>
      </c>
      <c r="C148" s="1">
        <v>32</v>
      </c>
      <c r="D148" s="1">
        <v>0</v>
      </c>
      <c r="E148" s="1">
        <v>32</v>
      </c>
      <c r="F148" s="1">
        <v>0</v>
      </c>
      <c r="G148" s="1">
        <v>0</v>
      </c>
      <c r="H148" s="1">
        <v>0</v>
      </c>
    </row>
    <row r="149" spans="1:8">
      <c r="A149" s="1" t="s">
        <v>150</v>
      </c>
      <c r="B149" s="2">
        <v>0.03452330827713013</v>
      </c>
      <c r="C149" s="1">
        <v>32</v>
      </c>
      <c r="D149" s="1">
        <v>0</v>
      </c>
      <c r="E149" s="1">
        <v>32</v>
      </c>
      <c r="F149" s="1">
        <v>0</v>
      </c>
      <c r="G149" s="1">
        <v>0</v>
      </c>
      <c r="H149" s="1">
        <v>0</v>
      </c>
    </row>
    <row r="150" spans="1:8">
      <c r="A150" s="1" t="s">
        <v>151</v>
      </c>
      <c r="B150" s="2">
        <v>0.03452330827713013</v>
      </c>
      <c r="C150" s="1">
        <v>32</v>
      </c>
      <c r="D150" s="1">
        <v>0</v>
      </c>
      <c r="E150" s="1">
        <v>32</v>
      </c>
      <c r="F150" s="1">
        <v>0</v>
      </c>
      <c r="G150" s="1">
        <v>0</v>
      </c>
      <c r="H150" s="1">
        <v>0</v>
      </c>
    </row>
    <row r="151" spans="1:8">
      <c r="A151" s="1" t="s">
        <v>152</v>
      </c>
      <c r="B151" s="2">
        <v>0.03452330827713013</v>
      </c>
      <c r="C151" s="1">
        <v>32</v>
      </c>
      <c r="D151" s="1">
        <v>0</v>
      </c>
      <c r="E151" s="1">
        <v>32</v>
      </c>
      <c r="F151" s="1">
        <v>0</v>
      </c>
      <c r="G151" s="1">
        <v>0</v>
      </c>
      <c r="H151" s="1">
        <v>0</v>
      </c>
    </row>
    <row r="152" spans="1:8">
      <c r="A152" s="1" t="s">
        <v>153</v>
      </c>
      <c r="B152" s="2">
        <v>0.03452330827713013</v>
      </c>
      <c r="C152" s="1">
        <v>32</v>
      </c>
      <c r="D152" s="1">
        <v>0</v>
      </c>
      <c r="E152" s="1">
        <v>32</v>
      </c>
      <c r="F152" s="1">
        <v>0</v>
      </c>
      <c r="G152" s="1">
        <v>0</v>
      </c>
      <c r="H152" s="1">
        <v>0</v>
      </c>
    </row>
    <row r="153" spans="1:8">
      <c r="A153" s="1" t="s">
        <v>154</v>
      </c>
      <c r="B153" s="2">
        <v>0.03236560150980949</v>
      </c>
      <c r="C153" s="1">
        <v>30</v>
      </c>
      <c r="D153" s="1">
        <v>0</v>
      </c>
      <c r="E153" s="1">
        <v>30</v>
      </c>
      <c r="F153" s="1">
        <v>0</v>
      </c>
      <c r="G153" s="1">
        <v>0</v>
      </c>
      <c r="H153" s="1">
        <v>0</v>
      </c>
    </row>
    <row r="154" spans="1:8">
      <c r="A154" s="1" t="s">
        <v>155</v>
      </c>
      <c r="B154" s="2">
        <v>0.03236560150980949</v>
      </c>
      <c r="C154" s="1">
        <v>30</v>
      </c>
      <c r="D154" s="1">
        <v>0</v>
      </c>
      <c r="E154" s="1">
        <v>30</v>
      </c>
      <c r="F154" s="1">
        <v>0</v>
      </c>
      <c r="G154" s="1">
        <v>0</v>
      </c>
      <c r="H154" s="1">
        <v>0</v>
      </c>
    </row>
    <row r="155" spans="1:8">
      <c r="A155" s="1" t="s">
        <v>156</v>
      </c>
      <c r="B155" s="2">
        <v>0.0258924812078476</v>
      </c>
      <c r="C155" s="1">
        <v>24</v>
      </c>
      <c r="D155" s="1">
        <v>0</v>
      </c>
      <c r="E155" s="1">
        <v>24</v>
      </c>
      <c r="F155" s="1">
        <v>0</v>
      </c>
      <c r="G155" s="1">
        <v>0</v>
      </c>
      <c r="H155" s="1">
        <v>0</v>
      </c>
    </row>
    <row r="156" spans="1:8">
      <c r="A156" s="1" t="s">
        <v>39</v>
      </c>
      <c r="B156" s="2">
        <v>0.01726165413856506</v>
      </c>
      <c r="C156" s="1">
        <v>16</v>
      </c>
      <c r="D156" s="1">
        <v>4</v>
      </c>
      <c r="E156" s="1">
        <v>12</v>
      </c>
      <c r="F156" s="1">
        <v>0</v>
      </c>
      <c r="G156" s="1">
        <v>4</v>
      </c>
      <c r="H156" s="1">
        <v>0</v>
      </c>
    </row>
    <row r="157" spans="1:8">
      <c r="A157" s="1" t="s">
        <v>157</v>
      </c>
      <c r="B157" s="2">
        <v>0.008630827069282532</v>
      </c>
      <c r="C157" s="1">
        <v>8</v>
      </c>
      <c r="D157" s="1">
        <v>0</v>
      </c>
      <c r="E157" s="1">
        <v>8</v>
      </c>
      <c r="F157" s="1">
        <v>0</v>
      </c>
      <c r="G157" s="1">
        <v>0</v>
      </c>
      <c r="H157" s="1">
        <v>0</v>
      </c>
    </row>
    <row r="158" spans="1:8">
      <c r="A158" s="1" t="s">
        <v>158</v>
      </c>
      <c r="B158" s="2">
        <v>0.008630827069282532</v>
      </c>
      <c r="C158" s="1">
        <v>8</v>
      </c>
      <c r="D158" s="1">
        <v>0</v>
      </c>
      <c r="E158" s="1">
        <v>8</v>
      </c>
      <c r="F158" s="1">
        <v>0</v>
      </c>
      <c r="G158" s="1">
        <v>0</v>
      </c>
      <c r="H158" s="1">
        <v>0</v>
      </c>
    </row>
    <row r="159" spans="1:8">
      <c r="A159" s="1" t="s">
        <v>38</v>
      </c>
      <c r="B159" s="2">
        <v>0.004315413534641266</v>
      </c>
      <c r="C159" s="1">
        <v>4</v>
      </c>
      <c r="D159" s="1">
        <v>4</v>
      </c>
      <c r="E159" s="1">
        <v>0</v>
      </c>
      <c r="F159" s="1">
        <v>0</v>
      </c>
      <c r="G159" s="1">
        <v>4</v>
      </c>
      <c r="H159" s="1">
        <v>0</v>
      </c>
    </row>
    <row r="160" spans="1:8">
      <c r="A160" s="1" t="s">
        <v>159</v>
      </c>
      <c r="B160" s="2">
        <v>0.004315413534641266</v>
      </c>
      <c r="C160" s="1">
        <v>4</v>
      </c>
      <c r="D160" s="1">
        <v>0</v>
      </c>
      <c r="E160" s="1">
        <v>4</v>
      </c>
      <c r="F160" s="1">
        <v>0</v>
      </c>
      <c r="G160" s="1">
        <v>0</v>
      </c>
      <c r="H160" s="1">
        <v>0</v>
      </c>
    </row>
    <row r="161" spans="1:8">
      <c r="A161" s="1" t="s">
        <v>160</v>
      </c>
      <c r="B161" s="2">
        <v>0.004315413534641266</v>
      </c>
      <c r="C161" s="1">
        <v>4</v>
      </c>
      <c r="D161" s="1">
        <v>0</v>
      </c>
      <c r="E161" s="1">
        <v>4</v>
      </c>
      <c r="F161" s="1">
        <v>0</v>
      </c>
      <c r="G161" s="1">
        <v>0</v>
      </c>
      <c r="H161" s="1">
        <v>0</v>
      </c>
    </row>
    <row r="162" spans="1:8">
      <c r="A162" t="s">
        <v>162</v>
      </c>
      <c r="B162">
        <f>SUBTOTAL(109,[flash_percent])</f>
        <v>0</v>
      </c>
      <c r="C162">
        <f>SUBTOTAL(109,[flash])</f>
        <v>0</v>
      </c>
      <c r="D162">
        <f>SUBTOTAL(109,[ram])</f>
        <v>0</v>
      </c>
      <c r="E162">
        <f>SUBTOTAL(109,[Code])</f>
        <v>0</v>
      </c>
      <c r="F162">
        <f>SUBTOTAL(109,[RO_data])</f>
        <v>0</v>
      </c>
      <c r="G162">
        <f>SUBTOTAL(109,[RW_data])</f>
        <v>0</v>
      </c>
      <c r="H162">
        <f>SUBTOTAL(109,[ZI_data])</f>
        <v>0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ram_percent</vt:lpstr>
      <vt:lpstr>flash_percent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2026-07-21T06:45:59Z</dcterms:created>
  <dcterms:modified xsi:type="dcterms:W3CDTF">2026-07-21T06:45:59Z</dcterms:modified>
</cp:coreProperties>
</file>