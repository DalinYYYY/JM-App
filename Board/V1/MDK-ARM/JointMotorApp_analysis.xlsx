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<sst xmlns="http://schemas.openxmlformats.org/spreadsheetml/2006/main" count="259" uniqueCount="196">
  <si>
    <t>JointMotorApp</t>
  </si>
  <si>
    <t>motor_observer.o</t>
  </si>
  <si>
    <t>heap_4.o</t>
  </si>
  <si>
    <t>motor_loop.o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</si>
  <si>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</si>
  <si>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</si>
  <si>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</si>
  <si>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</si>
  <si>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</si>
  <si>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</si>
  <si>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</si>
  <si>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</si>
  <si>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</si>
  <si>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</si>
  <si>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</si>
  <si>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</si>
  <si>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</si>
  <si>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</si>
  <si>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</si>
  <si>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</si>
  <si>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</si>
  <si>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</si>
  <si>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</si>
  <si>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</si>
  <si>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</si>
  <si>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</si>
  <si>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</si>
  <si>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</si>
  <si>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</si>
  <si>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</si>
  <si>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</si>
  <si>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</si>
  <si>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</si>
  <si>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</si>
  <si>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</si>
  <si>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</si>
  <si>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dev_eeprom.o</t>
  </si>
  <si>
    <t>calib_config_runtime.o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</si>
  <si>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</si>
  <si>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</si>
  <si>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</si>
  <si>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</si>
  <si>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</si>
  <si>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</si>
  <si>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</si>
  <si>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</si>
  <si>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</si>
  <si>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</si>
  <si>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</si>
  <si>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</si>
  <si>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</si>
  <si>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</si>
  <si>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</si>
  <si>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</si>
  <si>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</si>
  <si>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m_wm.l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</si>
  <si>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</si>
  <si>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</si>
  <si>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</si>
  <si>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</si>
  <si>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</si>
  <si>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</si>
  <si>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</si>
  <si>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</si>
  <si>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</si>
  <si>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</si>
  <si>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</si>
  <si>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</si>
  <si>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powf.o</t>
  </si>
  <si>
    <t>jm_proto_can.o</t>
  </si>
  <si>
    <t>motor_mode_test_sweep.o</t>
  </si>
  <si>
    <t>stm32g4xx_hal_rcc.o</t>
  </si>
  <si>
    <t>motion_param.o</t>
  </si>
  <si>
    <t>queue.o</t>
  </si>
  <si>
    <t>mf_w.l</t>
  </si>
  <si>
    <t>stm32g4xx_hal_spi.o</t>
  </si>
  <si>
    <t>motor_pid_autotune.o</t>
  </si>
  <si>
    <t>dev_motor_phase_current.o</t>
  </si>
  <si>
    <t>ctrl_transition.o</t>
  </si>
  <si>
    <t>foc_core.o</t>
  </si>
  <si>
    <t>stm32g4xx_hal_dma.o</t>
  </si>
  <si>
    <t>multiturn_counter.o</t>
  </si>
  <si>
    <t>current_loop.o</t>
  </si>
  <si>
    <t>dev_mt6835.o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</si>
  <si>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</si>
  <si>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</si>
  <si>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</si>
  <si>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</si>
  <si>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</si>
  <si>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</si>
  <si>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</si>
  <si>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</si>
  <si>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</si>
  <si>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</si>
  <si>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ctrl_transition_mgr.o</t>
  </si>
  <si>
    <t>stm32g4xx_hal_flash_ex.o</t>
  </si>
  <si>
    <t>stm32g4xx_hal_gpio.o</t>
  </si>
  <si>
    <t>log10f.o</t>
  </si>
  <si>
    <t>dev_motor.o</t>
  </si>
  <si>
    <t>motor_info_calib.o</t>
  </si>
  <si>
    <t>drv_tim.o</t>
  </si>
  <si>
    <t>dev_config.o</t>
  </si>
  <si>
    <t>sinf.o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</si>
  <si>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</si>
  <si>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</si>
  <si>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</si>
  <si>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</si>
  <si>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</si>
  <si>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</si>
  <si>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</si>
  <si>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</si>
  <si>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</si>
  <si>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</si>
  <si>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drv_gpio.o</t>
  </si>
  <si>
    <t>dmul.o</t>
  </si>
  <si>
    <t>ddiv.o</t>
  </si>
  <si>
    <t>motor_mode_load_sim.o</t>
  </si>
  <si>
    <t>stm32g4xx_hal_pwr_ex.o</t>
  </si>
  <si>
    <t>drv_spi.o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</si>
  <si>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</si>
  <si>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</si>
  <si>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</si>
  <si>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</si>
  <si>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</si>
  <si>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</si>
  <si>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</si>
  <si>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</si>
  <si>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</si>
  <si>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</si>
  <si>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motor_mode_velocity.o</t>
  </si>
  <si>
    <t>motor_mode_mit.o</t>
  </si>
  <si>
    <t>user_interface.o</t>
  </si>
  <si>
    <t>motor_mode_open_loop.o</t>
  </si>
  <si>
    <t>motor_mode_current.o</t>
  </si>
  <si>
    <t>floorf.o</t>
  </si>
  <si>
    <t>motor_mode_position.o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</si>
  <si>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</si>
  <si>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</si>
  <si>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</si>
  <si>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</si>
  <si>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</si>
  <si>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</si>
  <si>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</si>
  <si>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</si>
  <si>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</si>
  <si>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frem.o</t>
  </si>
  <si>
    <t>funder.o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</si>
  <si>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</si>
  <si>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</si>
  <si>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</si>
  <si>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</si>
  <si>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</si>
  <si>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</si>
  <si>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</si>
  <si>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</si>
  <si>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</si>
  <si>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</si>
  <si>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</si>
  <si>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</si>
  <si>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</si>
  <si>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</si>
  <si>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</si>
  <si>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</si>
  <si>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</si>
  <si>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</si>
  <si>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</si>
  <si>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</si>
  <si>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</si>
  <si>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</si>
  <si>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</si>
  <si>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</si>
  <si>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</si>
  <si>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</si>
  <si>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</si>
  <si>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motor_mode_zero_force.o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</si>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</sst>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ram_percent!$A$3:$A$188</c:f>
              <c:strCache>
                <c:ptCount val="186"/>
                <c:pt idx="0">
                  <c:v>motor_observer.o</c:v>
                </c:pt>
                <c:pt idx="1">
                  <c:v>heap_4.o</c:v>
                </c:pt>
                <c:pt idx="2">
                  <c:v>motor_loop.o</c:v>
                </c:pt>
                <c:pt idx="3">
                  <c:v>drv_flash_g4.o</c:v>
                </c:pt>
                <c:pt idx="4">
                  <c:v>dev_flash.o</c:v>
                </c:pt>
                <c:pt idx="5">
                  <c:v>dev_commun_can.o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dev_eeprom.o</c:v>
                </c:pt>
                <c:pt idx="36">
                  <c:v>calib_config_runtime.o</c:v>
                </c:pt>
                <c:pt idx="37">
                  <c:v>thread_management.o</c:v>
                </c:pt>
                <c:pt idx="38">
                  <c:v>jm_host_commun.o</c:v>
                </c:pt>
                <c:pt idx="39">
                  <c:v>stm32g4xx_hal.o</c:v>
                </c:pt>
                <c:pt idx="40">
                  <c:v>port.o</c:v>
                </c:pt>
                <c:pt idx="41">
                  <c:v>calib_level6_system.o</c:v>
                </c:pt>
                <c:pt idx="42">
                  <c:v>calib_level1_driver.o</c:v>
                </c:pt>
                <c:pt idx="43">
                  <c:v>mc_w.l</c:v>
                </c:pt>
                <c:pt idx="44">
                  <c:v>led_manager.o</c:v>
                </c:pt>
                <c:pt idx="45">
                  <c:v>calib_level4_torque.o</c:v>
                </c:pt>
                <c:pt idx="46">
                  <c:v>stdout.o</c:v>
                </c:pt>
                <c:pt idx="47">
                  <c:v>errno.o</c:v>
                </c:pt>
                <c:pt idx="48">
                  <c:v>system_stm32g4xx.o</c:v>
                </c:pt>
                <c:pt idx="49">
                  <c:v>system_state.o</c:v>
                </c:pt>
                <c:pt idx="50">
                  <c:v>jm_proto_uart.o</c:v>
                </c:pt>
                <c:pt idx="51">
                  <c:v>calib_hw.o</c:v>
                </c:pt>
                <c:pt idx="52">
                  <c:v>app_freertos.o</c:v>
                </c:pt>
                <c:pt idx="53">
                  <c:v>motor_pid_load.o</c:v>
                </c:pt>
                <c:pt idx="185">
                  <c:v>Totals</c:v>
                </c:pt>
              </c:strCache>
            </c:strRef>
          </c:cat>
          <c:val>
            <c:numRef>
              <c:f>ram_percent!$B$3:$B$188</c:f>
              <c:numCache>
                <c:formatCode>General</c:formatCode>
                <c:ptCount val="186"/>
                <c:pt idx="0">
                  <c:v>34.56700897216797</c:v>
                </c:pt>
                <c:pt idx="1">
                  <c:v>21.19889450073242</c:v>
                </c:pt>
                <c:pt idx="2">
                  <c:v>12.92905330657959</c:v>
                </c:pt>
                <c:pt idx="3">
                  <c:v>5.289392948150635</c:v>
                </c:pt>
                <c:pt idx="4">
                  <c:v>5.289392948150635</c:v>
                </c:pt>
                <c:pt idx="5">
                  <c:v>4.845166683197022</c:v>
                </c:pt>
                <c:pt idx="6">
                  <c:v>2.706681489944458</c:v>
                </c:pt>
                <c:pt idx="7">
                  <c:v>2.639530897140503</c:v>
                </c:pt>
                <c:pt idx="8">
                  <c:v>2.128154039382935</c:v>
                </c:pt>
                <c:pt idx="9">
                  <c:v>1.331387639045715</c:v>
                </c:pt>
                <c:pt idx="10">
                  <c:v>1.322348237037659</c:v>
                </c:pt>
                <c:pt idx="11">
                  <c:v>0.9297760725021362</c:v>
                </c:pt>
                <c:pt idx="12">
                  <c:v>0.5062114000320435</c:v>
                </c:pt>
                <c:pt idx="13">
                  <c:v>0.4597226083278656</c:v>
                </c:pt>
                <c:pt idx="14">
                  <c:v>0.4390609264373779</c:v>
                </c:pt>
                <c:pt idx="15">
                  <c:v>0.3874067068099976</c:v>
                </c:pt>
                <c:pt idx="16">
                  <c:v>0.3460833132266998</c:v>
                </c:pt>
                <c:pt idx="17">
                  <c:v>0.2944290935993195</c:v>
                </c:pt>
                <c:pt idx="18">
                  <c:v>0.2892636656761169</c:v>
                </c:pt>
                <c:pt idx="19">
                  <c:v>0.2634365558624268</c:v>
                </c:pt>
                <c:pt idx="20">
                  <c:v>0.2582711279392242</c:v>
                </c:pt>
                <c:pt idx="21">
                  <c:v>0.1704589426517487</c:v>
                </c:pt>
                <c:pt idx="22">
                  <c:v>0.1652935296297073</c:v>
                </c:pt>
                <c:pt idx="23">
                  <c:v>0.1291355639696121</c:v>
                </c:pt>
                <c:pt idx="24">
                  <c:v>0.1084738746285439</c:v>
                </c:pt>
                <c:pt idx="25">
                  <c:v>0.09814303368330002</c:v>
                </c:pt>
                <c:pt idx="26">
                  <c:v>0.0929776057600975</c:v>
                </c:pt>
                <c:pt idx="27">
                  <c:v>0.0929776057600975</c:v>
                </c:pt>
                <c:pt idx="28">
                  <c:v>0.0929776057600975</c:v>
                </c:pt>
                <c:pt idx="29">
                  <c:v>0.08781218528747559</c:v>
                </c:pt>
                <c:pt idx="30">
                  <c:v>0.08264676481485367</c:v>
                </c:pt>
                <c:pt idx="31">
                  <c:v>0.05681964755058289</c:v>
                </c:pt>
                <c:pt idx="32">
                  <c:v>0.05165422707796097</c:v>
                </c:pt>
                <c:pt idx="33">
                  <c:v>0.04648880288004875</c:v>
                </c:pt>
                <c:pt idx="34">
                  <c:v>0.04132338240742683</c:v>
                </c:pt>
                <c:pt idx="35">
                  <c:v>0.04132338240742683</c:v>
                </c:pt>
                <c:pt idx="36">
                  <c:v>0.03615795820951462</c:v>
                </c:pt>
                <c:pt idx="37">
                  <c:v>0.02582711353898048</c:v>
                </c:pt>
                <c:pt idx="38">
                  <c:v>0.02582711353898048</c:v>
                </c:pt>
                <c:pt idx="39">
                  <c:v>0.01549626793712378</c:v>
                </c:pt>
                <c:pt idx="40">
                  <c:v>0.01549626793712378</c:v>
                </c:pt>
                <c:pt idx="41">
                  <c:v>0.01549626793712378</c:v>
                </c:pt>
                <c:pt idx="42">
                  <c:v>0.01549626793712378</c:v>
                </c:pt>
                <c:pt idx="43">
                  <c:v>0.01033084560185671</c:v>
                </c:pt>
                <c:pt idx="44">
                  <c:v>0.01033084560185671</c:v>
                </c:pt>
                <c:pt idx="45">
                  <c:v>0.01033084560185671</c:v>
                </c:pt>
                <c:pt idx="46">
                  <c:v>0.005165422800928354</c:v>
                </c:pt>
                <c:pt idx="47">
                  <c:v>0.005165422800928354</c:v>
                </c:pt>
                <c:pt idx="48">
                  <c:v>0.005165422800928354</c:v>
                </c:pt>
                <c:pt idx="49">
                  <c:v>0.005165422800928354</c:v>
                </c:pt>
                <c:pt idx="50">
                  <c:v>0.005165422800928354</c:v>
                </c:pt>
                <c:pt idx="51">
                  <c:v>0.005165422800928354</c:v>
                </c:pt>
                <c:pt idx="52">
                  <c:v>0.005165422800928354</c:v>
                </c:pt>
                <c:pt idx="53">
                  <c:v>0.003874066984280944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flash_percent!$A$3:$A$188</c:f>
              <c:strCache>
                <c:ptCount val="186"/>
                <c:pt idx="0">
                  <c:v>jm_proto_ops.o</c:v>
                </c:pt>
                <c:pt idx="1">
                  <c:v>m_wm.l</c:v>
                </c:pt>
                <c:pt idx="2">
                  <c:v>motor_info.o</c:v>
                </c:pt>
                <c:pt idx="3">
                  <c:v>calib_level2_motor.o</c:v>
                </c:pt>
                <c:pt idx="4">
                  <c:v>jm_proto.o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motor_param.o</c:v>
                </c:pt>
                <c:pt idx="9">
                  <c:v>mc_w.l</c:v>
                </c:pt>
                <c:pt idx="10">
                  <c:v>motor_observer.o</c:v>
                </c:pt>
                <c:pt idx="11">
                  <c:v>stm32g4xx_hal_fdcan.o</c:v>
                </c:pt>
                <c:pt idx="12">
                  <c:v>stm32g4xx_hal_adc_ex.o</c:v>
                </c:pt>
                <c:pt idx="13">
                  <c:v>arm_cortexM4lf_math.lib</c:v>
                </c:pt>
                <c:pt idx="14">
                  <c:v>tasks.o</c:v>
                </c:pt>
                <c:pt idx="15">
                  <c:v>printfa.o</c:v>
                </c:pt>
                <c:pt idx="16">
                  <c:v>stm32g4xx_hal_i2c.o</c:v>
                </c:pt>
                <c:pt idx="17">
                  <c:v>dev_commun_can.o</c:v>
                </c:pt>
                <c:pt idx="18">
                  <c:v>arm_common_tables.o</c:v>
                </c:pt>
                <c:pt idx="19">
                  <c:v>powf.o</c:v>
                </c:pt>
                <c:pt idx="20">
                  <c:v>jm_proto_can.o</c:v>
                </c:pt>
                <c:pt idx="21">
                  <c:v>motor_mode_test_sweep.o</c:v>
                </c:pt>
                <c:pt idx="22">
                  <c:v>stm32g4xx_hal_rcc.o</c:v>
                </c:pt>
                <c:pt idx="23">
                  <c:v>motion_param.o</c:v>
                </c:pt>
                <c:pt idx="24">
                  <c:v>system_state.o</c:v>
                </c:pt>
                <c:pt idx="25">
                  <c:v>queue.o</c:v>
                </c:pt>
                <c:pt idx="26">
                  <c:v>dev_power_monitor.o</c:v>
                </c:pt>
                <c:pt idx="27">
                  <c:v>mf_w.l</c:v>
                </c:pt>
                <c:pt idx="28">
                  <c:v>motor_pid_profile.o</c:v>
                </c:pt>
                <c:pt idx="29">
                  <c:v>stm32g4xx_hal_spi.o</c:v>
                </c:pt>
                <c:pt idx="30">
                  <c:v>calib_config_runtime.o</c:v>
                </c:pt>
                <c:pt idx="31">
                  <c:v>motor_pid_autotune.o</c:v>
                </c:pt>
                <c:pt idx="32">
                  <c:v>dev_motor_phase_current.o</c:v>
                </c:pt>
                <c:pt idx="33">
                  <c:v>ctrl_transition.o</c:v>
                </c:pt>
                <c:pt idx="34">
                  <c:v>jm_host_commun.o</c:v>
                </c:pt>
                <c:pt idx="35">
                  <c:v>drv_can.o</c:v>
                </c:pt>
                <c:pt idx="36">
                  <c:v>calib_level3_encoder.o</c:v>
                </c:pt>
                <c:pt idx="37">
                  <c:v>calib_mgr.o</c:v>
                </c:pt>
                <c:pt idx="38">
                  <c:v>motor_loop.o</c:v>
                </c:pt>
                <c:pt idx="39">
                  <c:v>motor_pid_load.o</c:v>
                </c:pt>
                <c:pt idx="40">
                  <c:v>foc_core.o</c:v>
                </c:pt>
                <c:pt idx="41">
                  <c:v>calib_level5_nonlinear.o</c:v>
                </c:pt>
                <c:pt idx="42">
                  <c:v>drv_flash_g4.o</c:v>
                </c:pt>
                <c:pt idx="43">
                  <c:v>stm32g4xx_hal_dma.o</c:v>
                </c:pt>
                <c:pt idx="44">
                  <c:v>motor_info_storage.o</c:v>
                </c:pt>
                <c:pt idx="45">
                  <c:v>multiturn_counter.o</c:v>
                </c:pt>
                <c:pt idx="46">
                  <c:v>current_loop.o</c:v>
                </c:pt>
                <c:pt idx="47">
                  <c:v>dev_mt6835.o</c:v>
                </c:pt>
                <c:pt idx="48">
                  <c:v>dev_commun_uart.o</c:v>
                </c:pt>
                <c:pt idx="49">
                  <c:v>port.o</c:v>
                </c:pt>
                <c:pt idx="50">
                  <c:v>stm32g4xx_hal_rcc_ex.o</c:v>
                </c:pt>
                <c:pt idx="51">
                  <c:v>tim.o</c:v>
                </c:pt>
                <c:pt idx="52">
                  <c:v>motor_profile.o</c:v>
                </c:pt>
                <c:pt idx="53">
                  <c:v>stm32g4xx_hal_tim_ex.o</c:v>
                </c:pt>
                <c:pt idx="54">
                  <c:v>atan2f.o</c:v>
                </c:pt>
                <c:pt idx="55">
                  <c:v>dev_eeprom.o</c:v>
                </c:pt>
                <c:pt idx="56">
                  <c:v>dev_half_bridge.o</c:v>
                </c:pt>
                <c:pt idx="57">
                  <c:v>drv_usart.o</c:v>
                </c:pt>
                <c:pt idx="58">
                  <c:v>cascade_control.o</c:v>
                </c:pt>
                <c:pt idx="59">
                  <c:v>foc_decoupling.o</c:v>
                </c:pt>
                <c:pt idx="60">
                  <c:v>crc16.o</c:v>
                </c:pt>
                <c:pt idx="61">
                  <c:v>adc.o</c:v>
                </c:pt>
                <c:pt idx="62">
                  <c:v>motor_control.o</c:v>
                </c:pt>
                <c:pt idx="63">
                  <c:v>heap_4.o</c:v>
                </c:pt>
                <c:pt idx="64">
                  <c:v>startup_stm32g474xx.o</c:v>
                </c:pt>
                <c:pt idx="65">
                  <c:v>calib_ac_injection.o</c:v>
                </c:pt>
                <c:pt idx="66">
                  <c:v>dev_flash.o</c:v>
                </c:pt>
                <c:pt idx="67">
                  <c:v>calib_hw.o</c:v>
                </c:pt>
                <c:pt idx="68">
                  <c:v>packer_parser.o</c:v>
                </c:pt>
                <c:pt idx="69">
                  <c:v>ctrl_transition_mgr.o</c:v>
                </c:pt>
                <c:pt idx="70">
                  <c:v>stm32g4xx_hal_flash_ex.o</c:v>
                </c:pt>
                <c:pt idx="71">
                  <c:v>stm32g4xx_hal_gpio.o</c:v>
                </c:pt>
                <c:pt idx="72">
                  <c:v>stm32g4xx_hal_flash.o</c:v>
                </c:pt>
                <c:pt idx="73">
                  <c:v>log10f.o</c:v>
                </c:pt>
                <c:pt idx="74">
                  <c:v>dev_motor.o</c:v>
                </c:pt>
                <c:pt idx="75">
                  <c:v>motor_info_calib.o</c:v>
                </c:pt>
                <c:pt idx="76">
                  <c:v>led_manager.o</c:v>
                </c:pt>
                <c:pt idx="77">
                  <c:v>drv_tim.o</c:v>
                </c:pt>
                <c:pt idx="78">
                  <c:v>dev_config.o</c:v>
                </c:pt>
                <c:pt idx="79">
                  <c:v>calib_level7_auto.o</c:v>
                </c:pt>
                <c:pt idx="80">
                  <c:v>sinf.o</c:v>
                </c:pt>
                <c:pt idx="81">
                  <c:v>dev_led.o</c:v>
                </c:pt>
                <c:pt idx="82">
                  <c:v>rredf.o</c:v>
                </c:pt>
                <c:pt idx="83">
                  <c:v>pid_core.o</c:v>
                </c:pt>
                <c:pt idx="84">
                  <c:v>usart.o</c:v>
                </c:pt>
                <c:pt idx="85">
                  <c:v>cosf.o</c:v>
                </c:pt>
                <c:pt idx="86">
                  <c:v>dadd.o</c:v>
                </c:pt>
                <c:pt idx="87">
                  <c:v>spi.o</c:v>
                </c:pt>
                <c:pt idx="88">
                  <c:v>cmsis_os.o</c:v>
                </c:pt>
                <c:pt idx="89">
                  <c:v>stm32g4xx_hal_uart_ex.o</c:v>
                </c:pt>
                <c:pt idx="90">
                  <c:v>dev_encoder_mt6835.o</c:v>
                </c:pt>
                <c:pt idx="91">
                  <c:v>jm_proto_uart.o</c:v>
                </c:pt>
                <c:pt idx="92">
                  <c:v>gpio.o</c:v>
                </c:pt>
                <c:pt idx="93">
                  <c:v>i2c.o</c:v>
                </c:pt>
                <c:pt idx="94">
                  <c:v>drv_adc.o</c:v>
                </c:pt>
                <c:pt idx="95">
                  <c:v>drv_rtos.o</c:v>
                </c:pt>
                <c:pt idx="96">
                  <c:v>drv_i2c.o</c:v>
                </c:pt>
                <c:pt idx="97">
                  <c:v>main.o</c:v>
                </c:pt>
                <c:pt idx="98">
                  <c:v>drv_gpio.o</c:v>
                </c:pt>
                <c:pt idx="99">
                  <c:v>dmul.o</c:v>
                </c:pt>
                <c:pt idx="100">
                  <c:v>fdcan.o</c:v>
                </c:pt>
                <c:pt idx="101">
                  <c:v>ddiv.o</c:v>
                </c:pt>
                <c:pt idx="102">
                  <c:v>motor_mode_load_sim.o</c:v>
                </c:pt>
                <c:pt idx="103">
                  <c:v>stm32g4xx_hal_pwr_ex.o</c:v>
                </c:pt>
                <c:pt idx="104">
                  <c:v>drv_spi.o</c:v>
                </c:pt>
                <c:pt idx="105">
                  <c:v>thread_management.o</c:v>
                </c:pt>
                <c:pt idx="106">
                  <c:v>stm32g4xx_it.o</c:v>
                </c:pt>
                <c:pt idx="107">
                  <c:v>depilogue.o</c:v>
                </c:pt>
                <c:pt idx="108">
                  <c:v>fmodf.o</c:v>
                </c:pt>
                <c:pt idx="109">
                  <c:v>stm32g4xx_hal_i2c_ex.o</c:v>
                </c:pt>
                <c:pt idx="110">
                  <c:v>calib_level1_driver.o</c:v>
                </c:pt>
                <c:pt idx="111">
                  <c:v>stm32g4xx_hal_cortex.o</c:v>
                </c:pt>
                <c:pt idx="112">
                  <c:v>roundf.o</c:v>
                </c:pt>
                <c:pt idx="113">
                  <c:v>arm_cos_f32.o</c:v>
                </c:pt>
                <c:pt idx="114">
                  <c:v>arm_sin_f32.o</c:v>
                </c:pt>
                <c:pt idx="115">
                  <c:v>stm32g4xx_hal.o</c:v>
                </c:pt>
                <c:pt idx="116">
                  <c:v>list.o</c:v>
                </c:pt>
                <c:pt idx="117">
                  <c:v>stm32g4xx_hal_timebase_tim.o</c:v>
                </c:pt>
                <c:pt idx="118">
                  <c:v>thread_period.o</c:v>
                </c:pt>
                <c:pt idx="119">
                  <c:v>motor_mode_velocity.o</c:v>
                </c:pt>
                <c:pt idx="120">
                  <c:v>motor_mode_mit.o</c:v>
                </c:pt>
                <c:pt idx="121">
                  <c:v>user_interface.o</c:v>
                </c:pt>
                <c:pt idx="122">
                  <c:v>calib_level6_system.o</c:v>
                </c:pt>
                <c:pt idx="123">
                  <c:v>dev_dwt_counter.o</c:v>
                </c:pt>
                <c:pt idx="124">
                  <c:v>motor_mode_open_loop.o</c:v>
                </c:pt>
                <c:pt idx="125">
                  <c:v>motor_mode_current.o</c:v>
                </c:pt>
                <c:pt idx="126">
                  <c:v>floorf.o</c:v>
                </c:pt>
                <c:pt idx="127">
                  <c:v>motor_mode_position.o</c:v>
                </c:pt>
                <c:pt idx="128">
                  <c:v>fepilogue.o</c:v>
                </c:pt>
                <c:pt idx="129">
                  <c:v>ceilf.o</c:v>
                </c:pt>
                <c:pt idx="130">
                  <c:v>runtime_param.o</c:v>
                </c:pt>
                <c:pt idx="131">
                  <c:v>uldiv.o</c:v>
                </c:pt>
                <c:pt idx="132">
                  <c:v>ldiv.o</c:v>
                </c:pt>
                <c:pt idx="133">
                  <c:v>dma.o</c:v>
                </c:pt>
                <c:pt idx="134">
                  <c:v>__dczerorl2.o</c:v>
                </c:pt>
                <c:pt idx="135">
                  <c:v>motor_mode_torque.o</c:v>
                </c:pt>
                <c:pt idx="136">
                  <c:v>motor_mode_profile_torque.o</c:v>
                </c:pt>
                <c:pt idx="137">
                  <c:v>assert_report.o</c:v>
                </c:pt>
                <c:pt idx="138">
                  <c:v>app_freertos.o</c:v>
                </c:pt>
                <c:pt idx="139">
                  <c:v>frem.o</c:v>
                </c:pt>
                <c:pt idx="140">
                  <c:v>funder.o</c:v>
                </c:pt>
                <c:pt idx="141">
                  <c:v>motor_mode_profile_velocity.o</c:v>
                </c:pt>
                <c:pt idx="142">
                  <c:v>cordic.o</c:v>
                </c:pt>
                <c:pt idx="143">
                  <c:v>motor_mode_duty.o</c:v>
                </c:pt>
                <c:pt idx="144">
                  <c:v>frnd.o</c:v>
                </c:pt>
                <c:pt idx="145">
                  <c:v>stm32g4xx_hal_msp.o</c:v>
                </c:pt>
                <c:pt idx="146">
                  <c:v>control_irq.o</c:v>
                </c:pt>
                <c:pt idx="147">
                  <c:v>sqrtf.o</c:v>
                </c:pt>
                <c:pt idx="148">
                  <c:v>stm32g4xx_hal_cordic.o</c:v>
                </c:pt>
                <c:pt idx="149">
                  <c:v>calib_level4_torque.o</c:v>
                </c:pt>
                <c:pt idx="150">
                  <c:v>utils.o</c:v>
                </c:pt>
                <c:pt idx="151">
                  <c:v>dfixui.o</c:v>
                </c:pt>
                <c:pt idx="152">
                  <c:v>dfixul.o</c:v>
                </c:pt>
                <c:pt idx="153">
                  <c:v>cdrcmple.o</c:v>
                </c:pt>
                <c:pt idx="154">
                  <c:v>drv_dwt_timer.o</c:v>
                </c:pt>
                <c:pt idx="155">
                  <c:v>uidiv.o</c:v>
                </c:pt>
                <c:pt idx="156">
                  <c:v>thread_commun.o</c:v>
                </c:pt>
                <c:pt idx="157">
                  <c:v>system_stm32g4xx.o</c:v>
                </c:pt>
                <c:pt idx="158">
                  <c:v>motor_mode_idle.o</c:v>
                </c:pt>
                <c:pt idx="159">
                  <c:v>motor_mode_hold.o</c:v>
                </c:pt>
                <c:pt idx="160">
                  <c:v>drv_delay.o</c:v>
                </c:pt>
                <c:pt idx="161">
                  <c:v>f2d.o</c:v>
                </c:pt>
                <c:pt idx="162">
                  <c:v>fpclassifyf.o</c:v>
                </c:pt>
                <c:pt idx="163">
                  <c:v>memseta.o</c:v>
                </c:pt>
                <c:pt idx="164">
                  <c:v>memcpya.o</c:v>
                </c:pt>
                <c:pt idx="165">
                  <c:v>llsshr.o</c:v>
                </c:pt>
                <c:pt idx="166">
                  <c:v>init.o</c:v>
                </c:pt>
                <c:pt idx="167">
                  <c:v>llushr.o</c:v>
                </c:pt>
                <c:pt idx="168">
                  <c:v>thread_idle.o</c:v>
                </c:pt>
                <c:pt idx="169">
                  <c:v>thread_display.o</c:v>
                </c:pt>
                <c:pt idx="170">
                  <c:v>thread_control.o</c:v>
                </c:pt>
                <c:pt idx="171">
                  <c:v>motor_mode_zero_force.o</c:v>
                </c:pt>
                <c:pt idx="172">
                  <c:v>llshl.o</c:v>
                </c:pt>
                <c:pt idx="173">
                  <c:v>handlers.o</c:v>
                </c:pt>
                <c:pt idx="174">
                  <c:v>dfltui.o</c:v>
                </c:pt>
                <c:pt idx="175">
                  <c:v>memcmp.o</c:v>
                </c:pt>
                <c:pt idx="176">
                  <c:v>dfltul.o</c:v>
                </c:pt>
                <c:pt idx="177">
                  <c:v>strncpy.o</c:v>
                </c:pt>
                <c:pt idx="178">
                  <c:v>errno.o</c:v>
                </c:pt>
                <c:pt idx="179">
                  <c:v>entry9a.o</c:v>
                </c:pt>
                <c:pt idx="180">
                  <c:v>entry2.o</c:v>
                </c:pt>
                <c:pt idx="181">
                  <c:v>fpstat.o</c:v>
                </c:pt>
                <c:pt idx="182">
                  <c:v>stdout.o</c:v>
                </c:pt>
                <c:pt idx="183">
                  <c:v>entry5.o</c:v>
                </c:pt>
                <c:pt idx="184">
                  <c:v>entry12b.o</c:v>
                </c:pt>
                <c:pt idx="185">
                  <c:v>Totals</c:v>
                </c:pt>
              </c:strCache>
            </c:strRef>
          </c:cat>
          <c:val>
            <c:numRef>
              <c:f>flash_percent!$B$3:$B$188</c:f>
              <c:numCache>
                <c:formatCode>General</c:formatCode>
                <c:ptCount val="186"/>
                <c:pt idx="0">
                  <c:v>4.491837501525879</c:v>
                </c:pt>
                <c:pt idx="1">
                  <c:v>3.817131280899048</c:v>
                </c:pt>
                <c:pt idx="2">
                  <c:v>3.675985813140869</c:v>
                </c:pt>
                <c:pt idx="3">
                  <c:v>3.295979022979736</c:v>
                </c:pt>
                <c:pt idx="4">
                  <c:v>3.035402774810791</c:v>
                </c:pt>
                <c:pt idx="5">
                  <c:v>2.853929996490479</c:v>
                </c:pt>
                <c:pt idx="6">
                  <c:v>2.570087909698486</c:v>
                </c:pt>
                <c:pt idx="7">
                  <c:v>2.473922967910767</c:v>
                </c:pt>
                <c:pt idx="8">
                  <c:v>2.238163471221924</c:v>
                </c:pt>
                <c:pt idx="9">
                  <c:v>2.228857278823853</c:v>
                </c:pt>
                <c:pt idx="10">
                  <c:v>1.89383065700531</c:v>
                </c:pt>
                <c:pt idx="11">
                  <c:v>1.861258625984192</c:v>
                </c:pt>
                <c:pt idx="12">
                  <c:v>1.824033498764038</c:v>
                </c:pt>
                <c:pt idx="13">
                  <c:v>1.820931434631348</c:v>
                </c:pt>
                <c:pt idx="14">
                  <c:v>1.817829251289368</c:v>
                </c:pt>
                <c:pt idx="15">
                  <c:v>1.720113277435303</c:v>
                </c:pt>
                <c:pt idx="16">
                  <c:v>1.665826559066773</c:v>
                </c:pt>
                <c:pt idx="17">
                  <c:v>1.659622311592102</c:v>
                </c:pt>
                <c:pt idx="18">
                  <c:v>1.591376185417175</c:v>
                </c:pt>
                <c:pt idx="19">
                  <c:v>1.516925811767578</c:v>
                </c:pt>
                <c:pt idx="20">
                  <c:v>1.507619500160217</c:v>
                </c:pt>
                <c:pt idx="21">
                  <c:v>1.49055802822113</c:v>
                </c:pt>
                <c:pt idx="22">
                  <c:v>1.473496437072754</c:v>
                </c:pt>
                <c:pt idx="23">
                  <c:v>1.400597095489502</c:v>
                </c:pt>
                <c:pt idx="24">
                  <c:v>1.364923000335693</c:v>
                </c:pt>
                <c:pt idx="25">
                  <c:v>1.247043371200562</c:v>
                </c:pt>
                <c:pt idx="26">
                  <c:v>1.243941187858582</c:v>
                </c:pt>
                <c:pt idx="27">
                  <c:v>1.132265686988831</c:v>
                </c:pt>
                <c:pt idx="28">
                  <c:v>1.115204215049744</c:v>
                </c:pt>
                <c:pt idx="29">
                  <c:v>1.081081032752991</c:v>
                </c:pt>
                <c:pt idx="30">
                  <c:v>1.076427936553955</c:v>
                </c:pt>
                <c:pt idx="31">
                  <c:v>0.9678544998168945</c:v>
                </c:pt>
                <c:pt idx="32">
                  <c:v>0.9461398124694824</c:v>
                </c:pt>
                <c:pt idx="33">
                  <c:v>0.941486656665802</c:v>
                </c:pt>
                <c:pt idx="34">
                  <c:v>0.912016749382019</c:v>
                </c:pt>
                <c:pt idx="35">
                  <c:v>0.8918530941009522</c:v>
                </c:pt>
                <c:pt idx="36">
                  <c:v>0.8391174674034119</c:v>
                </c:pt>
                <c:pt idx="37">
                  <c:v>0.7972391247749329</c:v>
                </c:pt>
                <c:pt idx="38">
                  <c:v>0.7848307490348816</c:v>
                </c:pt>
                <c:pt idx="39">
                  <c:v>0.784055233001709</c:v>
                </c:pt>
                <c:pt idx="40">
                  <c:v>0.7755244374275208</c:v>
                </c:pt>
                <c:pt idx="41">
                  <c:v>0.7522587180137634</c:v>
                </c:pt>
                <c:pt idx="42">
                  <c:v>0.7445034980773926</c:v>
                </c:pt>
                <c:pt idx="43">
                  <c:v>0.7414013743400574</c:v>
                </c:pt>
                <c:pt idx="44">
                  <c:v>0.7243398427963257</c:v>
                </c:pt>
                <c:pt idx="45">
                  <c:v>0.6700531244277954</c:v>
                </c:pt>
                <c:pt idx="46">
                  <c:v>0.6607468128204346</c:v>
                </c:pt>
                <c:pt idx="47">
                  <c:v>0.6591957807540894</c:v>
                </c:pt>
                <c:pt idx="48">
                  <c:v>0.635930061340332</c:v>
                </c:pt>
                <c:pt idx="49">
                  <c:v>0.6188685297966003</c:v>
                </c:pt>
                <c:pt idx="50">
                  <c:v>0.6080111861228943</c:v>
                </c:pt>
                <c:pt idx="51">
                  <c:v>0.5862964987754822</c:v>
                </c:pt>
                <c:pt idx="52">
                  <c:v>0.5614796876907349</c:v>
                </c:pt>
                <c:pt idx="53">
                  <c:v>0.5583776235580444</c:v>
                </c:pt>
                <c:pt idx="54">
                  <c:v>0.5304587483406067</c:v>
                </c:pt>
                <c:pt idx="55">
                  <c:v>0.5102950930595398</c:v>
                </c:pt>
                <c:pt idx="56">
                  <c:v>0.4994377493858337</c:v>
                </c:pt>
                <c:pt idx="57">
                  <c:v>0.4808251559734345</c:v>
                </c:pt>
                <c:pt idx="58">
                  <c:v>0.4792741239070892</c:v>
                </c:pt>
                <c:pt idx="59">
                  <c:v>0.4435999989509583</c:v>
                </c:pt>
                <c:pt idx="60">
                  <c:v>0.4311915934085846</c:v>
                </c:pt>
                <c:pt idx="61">
                  <c:v>0.424987405538559</c:v>
                </c:pt>
                <c:pt idx="62">
                  <c:v>0.4218853116035461</c:v>
                </c:pt>
                <c:pt idx="63">
                  <c:v>0.3970685303211212</c:v>
                </c:pt>
                <c:pt idx="64">
                  <c:v>0.393966406583786</c:v>
                </c:pt>
                <c:pt idx="65">
                  <c:v>0.3908643126487732</c:v>
                </c:pt>
                <c:pt idx="66">
                  <c:v>0.389313280582428</c:v>
                </c:pt>
                <c:pt idx="67">
                  <c:v>0.389313280582428</c:v>
                </c:pt>
                <c:pt idx="68">
                  <c:v>0.3862111866474152</c:v>
                </c:pt>
                <c:pt idx="69">
                  <c:v>0.3707006871700287</c:v>
                </c:pt>
                <c:pt idx="70">
                  <c:v>0.3691496253013611</c:v>
                </c:pt>
                <c:pt idx="71">
                  <c:v>0.3629454374313355</c:v>
                </c:pt>
                <c:pt idx="72">
                  <c:v>0.353639155626297</c:v>
                </c:pt>
                <c:pt idx="73">
                  <c:v>0.3474349677562714</c:v>
                </c:pt>
                <c:pt idx="74">
                  <c:v>0.3350265622138977</c:v>
                </c:pt>
                <c:pt idx="75">
                  <c:v>0.3303734064102173</c:v>
                </c:pt>
                <c:pt idx="76">
                  <c:v>0.3303734064102173</c:v>
                </c:pt>
                <c:pt idx="77">
                  <c:v>0.317965030670166</c:v>
                </c:pt>
                <c:pt idx="78">
                  <c:v>0.317965030670166</c:v>
                </c:pt>
                <c:pt idx="79">
                  <c:v>0.3164139688014984</c:v>
                </c:pt>
                <c:pt idx="80">
                  <c:v>0.3102097809314728</c:v>
                </c:pt>
                <c:pt idx="81">
                  <c:v>0.3102097809314728</c:v>
                </c:pt>
                <c:pt idx="82">
                  <c:v>0.2884950935840607</c:v>
                </c:pt>
                <c:pt idx="83">
                  <c:v>0.2838419377803803</c:v>
                </c:pt>
                <c:pt idx="84">
                  <c:v>0.2667804062366486</c:v>
                </c:pt>
                <c:pt idx="85">
                  <c:v>0.2605762183666229</c:v>
                </c:pt>
                <c:pt idx="86">
                  <c:v>0.2590251564979553</c:v>
                </c:pt>
                <c:pt idx="87">
                  <c:v>0.2574741244316101</c:v>
                </c:pt>
                <c:pt idx="88">
                  <c:v>0.2512699067592621</c:v>
                </c:pt>
                <c:pt idx="89">
                  <c:v>0.2388615310192108</c:v>
                </c:pt>
                <c:pt idx="90">
                  <c:v>0.2264531403779984</c:v>
                </c:pt>
                <c:pt idx="91">
                  <c:v>0.2109426558017731</c:v>
                </c:pt>
                <c:pt idx="92">
                  <c:v>0.2109426558017731</c:v>
                </c:pt>
                <c:pt idx="93">
                  <c:v>0.1954321563243866</c:v>
                </c:pt>
                <c:pt idx="94">
                  <c:v>0.1907790154218674</c:v>
                </c:pt>
                <c:pt idx="95">
                  <c:v>0.1876769214868546</c:v>
                </c:pt>
                <c:pt idx="96">
                  <c:v>0.1861258745193481</c:v>
                </c:pt>
                <c:pt idx="97">
                  <c:v>0.1814727187156677</c:v>
                </c:pt>
                <c:pt idx="98">
                  <c:v>0.1799216717481613</c:v>
                </c:pt>
                <c:pt idx="99">
                  <c:v>0.1768195778131485</c:v>
                </c:pt>
                <c:pt idx="100">
                  <c:v>0.1768195778131485</c:v>
                </c:pt>
                <c:pt idx="101">
                  <c:v>0.1721664220094681</c:v>
                </c:pt>
                <c:pt idx="102">
                  <c:v>0.1721664220094681</c:v>
                </c:pt>
                <c:pt idx="103">
                  <c:v>0.1706153750419617</c:v>
                </c:pt>
                <c:pt idx="104">
                  <c:v>0.1706153750419617</c:v>
                </c:pt>
                <c:pt idx="105">
                  <c:v>0.1489006876945496</c:v>
                </c:pt>
                <c:pt idx="106">
                  <c:v>0.1457985937595367</c:v>
                </c:pt>
                <c:pt idx="107">
                  <c:v>0.1442475467920303</c:v>
                </c:pt>
                <c:pt idx="108">
                  <c:v>0.1364922970533371</c:v>
                </c:pt>
                <c:pt idx="109">
                  <c:v>0.1364922970533371</c:v>
                </c:pt>
                <c:pt idx="110">
                  <c:v>0.1333902031183243</c:v>
                </c:pt>
                <c:pt idx="111">
                  <c:v>0.1225328594446182</c:v>
                </c:pt>
                <c:pt idx="112">
                  <c:v>0.1194307655096054</c:v>
                </c:pt>
                <c:pt idx="113">
                  <c:v>0.117879718542099</c:v>
                </c:pt>
                <c:pt idx="114">
                  <c:v>0.1116755232214928</c:v>
                </c:pt>
                <c:pt idx="115">
                  <c:v>0.1101244688034058</c:v>
                </c:pt>
                <c:pt idx="116">
                  <c:v>0.1070223748683929</c:v>
                </c:pt>
                <c:pt idx="117">
                  <c:v>0.1054713279008865</c:v>
                </c:pt>
                <c:pt idx="118">
                  <c:v>0.0992671325802803</c:v>
                </c:pt>
                <c:pt idx="119">
                  <c:v>0.0992671325802803</c:v>
                </c:pt>
                <c:pt idx="120">
                  <c:v>0.0992671325802803</c:v>
                </c:pt>
                <c:pt idx="121">
                  <c:v>0.0977160781621933</c:v>
                </c:pt>
                <c:pt idx="122">
                  <c:v>0.0977160781621933</c:v>
                </c:pt>
                <c:pt idx="123">
                  <c:v>0.09306293725967407</c:v>
                </c:pt>
                <c:pt idx="124">
                  <c:v>0.08996083587408066</c:v>
                </c:pt>
                <c:pt idx="125">
                  <c:v>0.08840978890657425</c:v>
                </c:pt>
                <c:pt idx="126">
                  <c:v>0.08685874193906784</c:v>
                </c:pt>
                <c:pt idx="127">
                  <c:v>0.08685874193906784</c:v>
                </c:pt>
                <c:pt idx="128">
                  <c:v>0.08530768752098084</c:v>
                </c:pt>
                <c:pt idx="129">
                  <c:v>0.08375664055347443</c:v>
                </c:pt>
                <c:pt idx="130">
                  <c:v>0.08375664055347443</c:v>
                </c:pt>
                <c:pt idx="131">
                  <c:v>0.07600139826536179</c:v>
                </c:pt>
                <c:pt idx="132">
                  <c:v>0.07600139826536179</c:v>
                </c:pt>
                <c:pt idx="133">
                  <c:v>0.07134824991226196</c:v>
                </c:pt>
                <c:pt idx="134">
                  <c:v>0.06669510155916214</c:v>
                </c:pt>
                <c:pt idx="135">
                  <c:v>0.06514405459165573</c:v>
                </c:pt>
                <c:pt idx="136">
                  <c:v>0.06514405459165573</c:v>
                </c:pt>
                <c:pt idx="137">
                  <c:v>0.06514405459165573</c:v>
                </c:pt>
                <c:pt idx="138">
                  <c:v>0.06514405459165573</c:v>
                </c:pt>
                <c:pt idx="139">
                  <c:v>0.06359300762414932</c:v>
                </c:pt>
                <c:pt idx="140">
                  <c:v>0.06204195693135262</c:v>
                </c:pt>
                <c:pt idx="141">
                  <c:v>0.06204195693135262</c:v>
                </c:pt>
                <c:pt idx="142">
                  <c:v>0.0589398592710495</c:v>
                </c:pt>
                <c:pt idx="143">
                  <c:v>0.05118461325764656</c:v>
                </c:pt>
                <c:pt idx="144">
                  <c:v>0.04653146862983704</c:v>
                </c:pt>
                <c:pt idx="145">
                  <c:v>0.04653146862983704</c:v>
                </c:pt>
                <c:pt idx="146">
                  <c:v>0.04653146862983704</c:v>
                </c:pt>
                <c:pt idx="147">
                  <c:v>0.04498041793704033</c:v>
                </c:pt>
                <c:pt idx="148">
                  <c:v>0.04187832027673721</c:v>
                </c:pt>
                <c:pt idx="149">
                  <c:v>0.04187832027673721</c:v>
                </c:pt>
                <c:pt idx="150">
                  <c:v>0.04032726958394051</c:v>
                </c:pt>
                <c:pt idx="151">
                  <c:v>0.0387762226164341</c:v>
                </c:pt>
                <c:pt idx="152">
                  <c:v>0.03722517192363739</c:v>
                </c:pt>
                <c:pt idx="153">
                  <c:v>0.03722517192363739</c:v>
                </c:pt>
                <c:pt idx="154">
                  <c:v>0.03722517192363739</c:v>
                </c:pt>
                <c:pt idx="155">
                  <c:v>0.03412307426333427</c:v>
                </c:pt>
                <c:pt idx="156">
                  <c:v>0.03412307426333427</c:v>
                </c:pt>
                <c:pt idx="157">
                  <c:v>0.03412307426333427</c:v>
                </c:pt>
                <c:pt idx="158">
                  <c:v>0.03412307426333427</c:v>
                </c:pt>
                <c:pt idx="159">
                  <c:v>0.03412307426333427</c:v>
                </c:pt>
                <c:pt idx="160">
                  <c:v>0.03102097846567631</c:v>
                </c:pt>
                <c:pt idx="161">
                  <c:v>0.02946992963552475</c:v>
                </c:pt>
                <c:pt idx="162">
                  <c:v>0.02946992963552475</c:v>
                </c:pt>
                <c:pt idx="163">
                  <c:v>0.02791888080537319</c:v>
                </c:pt>
                <c:pt idx="164">
                  <c:v>0.02791888080537319</c:v>
                </c:pt>
                <c:pt idx="165">
                  <c:v>0.02791888080537319</c:v>
                </c:pt>
                <c:pt idx="166">
                  <c:v>0.02791888080537319</c:v>
                </c:pt>
                <c:pt idx="167">
                  <c:v>0.02481678314507008</c:v>
                </c:pt>
                <c:pt idx="168">
                  <c:v>0.02481678314507008</c:v>
                </c:pt>
                <c:pt idx="169">
                  <c:v>0.02481678314507008</c:v>
                </c:pt>
                <c:pt idx="170">
                  <c:v>0.02481678314507008</c:v>
                </c:pt>
                <c:pt idx="171">
                  <c:v>0.02481678314507008</c:v>
                </c:pt>
                <c:pt idx="172">
                  <c:v>0.02326573431491852</c:v>
                </c:pt>
                <c:pt idx="173">
                  <c:v>0.02326573431491852</c:v>
                </c:pt>
                <c:pt idx="174">
                  <c:v>0.02016363479197025</c:v>
                </c:pt>
                <c:pt idx="175">
                  <c:v>0.02016363479197025</c:v>
                </c:pt>
                <c:pt idx="176">
                  <c:v>0.0186125859618187</c:v>
                </c:pt>
                <c:pt idx="177">
                  <c:v>0.0186125859618187</c:v>
                </c:pt>
                <c:pt idx="178">
                  <c:v>0.01240839157253504</c:v>
                </c:pt>
                <c:pt idx="179">
                  <c:v>0.006204195786267519</c:v>
                </c:pt>
                <c:pt idx="180">
                  <c:v>0.006204195786267519</c:v>
                </c:pt>
                <c:pt idx="181">
                  <c:v>0.00310209789313376</c:v>
                </c:pt>
                <c:pt idx="182">
                  <c:v>0.00310209789313376</c:v>
                </c:pt>
                <c:pt idx="183">
                  <c:v>0.00310209789313376</c:v>
                </c:pt>
                <c:pt idx="184">
                  <c:v>0.00310209789313376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8" totalsRowCount="1">
  <autoFilter ref="A2:H18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8" totalsRowCount="1">
  <autoFilter ref="A2:H18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188</v>
      </c>
      <c r="C2" t="s">
        <v>189</v>
      </c>
      <c r="D2" t="s">
        <v>190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</v>
      </c>
      <c r="B3" s="2">
        <v>34.56700897216797</v>
      </c>
      <c r="C3" s="1">
        <v>26768</v>
      </c>
      <c r="D3" s="1">
        <v>2442</v>
      </c>
      <c r="E3" s="1">
        <v>2394</v>
      </c>
      <c r="F3" s="1">
        <v>0</v>
      </c>
      <c r="G3" s="1">
        <v>48</v>
      </c>
      <c r="H3" s="1">
        <v>26720</v>
      </c>
    </row>
    <row r="4" spans="1:8">
      <c r="A4" s="1" t="s">
        <v>2</v>
      </c>
      <c r="B4" s="2">
        <v>21.19889450073242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12.92905330657959</v>
      </c>
      <c r="C5" s="1">
        <v>10012</v>
      </c>
      <c r="D5" s="1">
        <v>1012</v>
      </c>
      <c r="E5" s="1">
        <v>1012</v>
      </c>
      <c r="F5" s="1">
        <v>0</v>
      </c>
      <c r="G5" s="1">
        <v>0</v>
      </c>
      <c r="H5" s="1">
        <v>10012</v>
      </c>
    </row>
    <row r="6" spans="1:8">
      <c r="A6" s="1" t="s">
        <v>4</v>
      </c>
      <c r="B6" s="2">
        <v>5.289392948150635</v>
      </c>
      <c r="C6" s="1">
        <v>4096</v>
      </c>
      <c r="D6" s="1">
        <v>960</v>
      </c>
      <c r="E6" s="1">
        <v>960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5.289392948150635</v>
      </c>
      <c r="C7" s="1">
        <v>4096</v>
      </c>
      <c r="D7" s="1">
        <v>502</v>
      </c>
      <c r="E7" s="1">
        <v>502</v>
      </c>
      <c r="F7" s="1">
        <v>0</v>
      </c>
      <c r="G7" s="1">
        <v>0</v>
      </c>
      <c r="H7" s="1">
        <v>4096</v>
      </c>
    </row>
    <row r="8" spans="1:8">
      <c r="A8" s="1" t="s">
        <v>6</v>
      </c>
      <c r="B8" s="2">
        <v>4.845166683197022</v>
      </c>
      <c r="C8" s="1">
        <v>3752</v>
      </c>
      <c r="D8" s="1">
        <v>2140</v>
      </c>
      <c r="E8" s="1">
        <v>2136</v>
      </c>
      <c r="F8" s="1">
        <v>0</v>
      </c>
      <c r="G8" s="1">
        <v>4</v>
      </c>
      <c r="H8" s="1">
        <v>3748</v>
      </c>
    </row>
    <row r="9" spans="1:8">
      <c r="A9" s="1" t="s">
        <v>7</v>
      </c>
      <c r="B9" s="2">
        <v>2.706681489944458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2.639530897140503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2.128154039382935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1.331387639045715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1.322348237037659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0.9297760725021362</v>
      </c>
      <c r="C14" s="1">
        <v>720</v>
      </c>
      <c r="D14" s="1">
        <v>108</v>
      </c>
      <c r="E14" s="1">
        <v>108</v>
      </c>
      <c r="F14" s="1">
        <v>0</v>
      </c>
      <c r="G14" s="1">
        <v>0</v>
      </c>
      <c r="H14" s="1">
        <v>720</v>
      </c>
    </row>
    <row r="15" spans="1:8">
      <c r="A15" s="1" t="s">
        <v>13</v>
      </c>
      <c r="B15" s="2">
        <v>0.5062114000320435</v>
      </c>
      <c r="C15" s="1">
        <v>392</v>
      </c>
      <c r="D15" s="1">
        <v>5792</v>
      </c>
      <c r="E15" s="1">
        <v>5292</v>
      </c>
      <c r="F15" s="1">
        <v>472</v>
      </c>
      <c r="G15" s="1">
        <v>28</v>
      </c>
      <c r="H15" s="1">
        <v>364</v>
      </c>
    </row>
    <row r="16" spans="1:8">
      <c r="A16" s="1" t="s">
        <v>14</v>
      </c>
      <c r="B16" s="2">
        <v>0.4597226083278656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0.4390609264373779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0.3874067068099976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0.3460833132266998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0.2944290935993195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0.2892636656761169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0.2634365558624268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0.2582711279392242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0.1704589426517487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0.1652935296297073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0.1291355639696121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0.1084738746285439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0.09814303368330002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0.0929776057600975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0.0929776057600975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0.0929776057600975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0.08781218528747559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0.08264676481485367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0.05681964755058289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0.05165422707796097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0.04648880288004875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0.04132338240742683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0.04132338240742683</v>
      </c>
      <c r="C38" s="1">
        <v>32</v>
      </c>
      <c r="D38" s="1">
        <v>658</v>
      </c>
      <c r="E38" s="1">
        <v>658</v>
      </c>
      <c r="F38" s="1">
        <v>0</v>
      </c>
      <c r="G38" s="1">
        <v>0</v>
      </c>
      <c r="H38" s="1">
        <v>32</v>
      </c>
    </row>
    <row r="39" spans="1:8">
      <c r="A39" s="1" t="s">
        <v>37</v>
      </c>
      <c r="B39" s="2">
        <v>0.03615795820951462</v>
      </c>
      <c r="C39" s="1">
        <v>28</v>
      </c>
      <c r="D39" s="1">
        <v>1388</v>
      </c>
      <c r="E39" s="1">
        <v>1360</v>
      </c>
      <c r="F39" s="1">
        <v>28</v>
      </c>
      <c r="G39" s="1">
        <v>0</v>
      </c>
      <c r="H39" s="1">
        <v>28</v>
      </c>
    </row>
    <row r="40" spans="1:8">
      <c r="A40" s="1" t="s">
        <v>38</v>
      </c>
      <c r="B40" s="2">
        <v>0.02582711353898048</v>
      </c>
      <c r="C40" s="1">
        <v>20</v>
      </c>
      <c r="D40" s="1">
        <v>192</v>
      </c>
      <c r="E40" s="1">
        <v>192</v>
      </c>
      <c r="F40" s="1">
        <v>0</v>
      </c>
      <c r="G40" s="1">
        <v>0</v>
      </c>
      <c r="H40" s="1">
        <v>20</v>
      </c>
    </row>
    <row r="41" spans="1:8">
      <c r="A41" s="1" t="s">
        <v>39</v>
      </c>
      <c r="B41" s="2">
        <v>0.02582711353898048</v>
      </c>
      <c r="C41" s="1">
        <v>20</v>
      </c>
      <c r="D41" s="1">
        <v>1176</v>
      </c>
      <c r="E41" s="1">
        <v>1156</v>
      </c>
      <c r="F41" s="1">
        <v>0</v>
      </c>
      <c r="G41" s="1">
        <v>20</v>
      </c>
      <c r="H41" s="1">
        <v>0</v>
      </c>
    </row>
    <row r="42" spans="1:8">
      <c r="A42" s="1" t="s">
        <v>40</v>
      </c>
      <c r="B42" s="2">
        <v>0.01549626793712378</v>
      </c>
      <c r="C42" s="1">
        <v>12</v>
      </c>
      <c r="D42" s="1">
        <v>142</v>
      </c>
      <c r="E42" s="1">
        <v>130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0.01549626793712378</v>
      </c>
      <c r="C43" s="1">
        <v>12</v>
      </c>
      <c r="D43" s="1">
        <v>798</v>
      </c>
      <c r="E43" s="1">
        <v>786</v>
      </c>
      <c r="F43" s="1">
        <v>0</v>
      </c>
      <c r="G43" s="1">
        <v>12</v>
      </c>
      <c r="H43" s="1">
        <v>0</v>
      </c>
    </row>
    <row r="44" spans="1:8">
      <c r="A44" s="1" t="s">
        <v>42</v>
      </c>
      <c r="B44" s="2">
        <v>0.01549626793712378</v>
      </c>
      <c r="C44" s="1">
        <v>12</v>
      </c>
      <c r="D44" s="1">
        <v>126</v>
      </c>
      <c r="E44" s="1">
        <v>102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0.01549626793712378</v>
      </c>
      <c r="C45" s="1">
        <v>12</v>
      </c>
      <c r="D45" s="1">
        <v>172</v>
      </c>
      <c r="E45" s="1">
        <v>148</v>
      </c>
      <c r="F45" s="1">
        <v>12</v>
      </c>
      <c r="G45" s="1">
        <v>12</v>
      </c>
      <c r="H45" s="1">
        <v>0</v>
      </c>
    </row>
    <row r="46" spans="1:8">
      <c r="A46" s="1" t="s">
        <v>44</v>
      </c>
      <c r="B46" s="2">
        <v>0.01033084560185671</v>
      </c>
      <c r="C46" s="1">
        <v>8</v>
      </c>
      <c r="D46" s="1">
        <v>2874</v>
      </c>
      <c r="E46" s="1">
        <v>2866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0.01033084560185671</v>
      </c>
      <c r="C47" s="1">
        <v>8</v>
      </c>
      <c r="D47" s="1">
        <v>426</v>
      </c>
      <c r="E47" s="1">
        <v>418</v>
      </c>
      <c r="F47" s="1">
        <v>0</v>
      </c>
      <c r="G47" s="1">
        <v>8</v>
      </c>
      <c r="H47" s="1">
        <v>0</v>
      </c>
    </row>
    <row r="48" spans="1:8">
      <c r="A48" s="1" t="s">
        <v>46</v>
      </c>
      <c r="B48" s="2">
        <v>0.01033084560185671</v>
      </c>
      <c r="C48" s="1">
        <v>8</v>
      </c>
      <c r="D48" s="1">
        <v>54</v>
      </c>
      <c r="E48" s="1">
        <v>34</v>
      </c>
      <c r="F48" s="1">
        <v>12</v>
      </c>
      <c r="G48" s="1">
        <v>8</v>
      </c>
      <c r="H48" s="1">
        <v>0</v>
      </c>
    </row>
    <row r="49" spans="1:8">
      <c r="A49" s="1" t="s">
        <v>47</v>
      </c>
      <c r="B49" s="2">
        <v>0.005165422800928354</v>
      </c>
      <c r="C49" s="1">
        <v>4</v>
      </c>
      <c r="D49" s="1">
        <v>4</v>
      </c>
      <c r="E49" s="1">
        <v>0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0.005165422800928354</v>
      </c>
      <c r="C50" s="1">
        <v>4</v>
      </c>
      <c r="D50" s="1">
        <v>16</v>
      </c>
      <c r="E50" s="1">
        <v>12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0.005165422800928354</v>
      </c>
      <c r="C51" s="1">
        <v>4</v>
      </c>
      <c r="D51" s="1">
        <v>44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50</v>
      </c>
      <c r="B52" s="2">
        <v>0.005165422800928354</v>
      </c>
      <c r="C52" s="1">
        <v>4</v>
      </c>
      <c r="D52" s="1">
        <v>1760</v>
      </c>
      <c r="E52" s="1">
        <v>1420</v>
      </c>
      <c r="F52" s="1">
        <v>336</v>
      </c>
      <c r="G52" s="1">
        <v>4</v>
      </c>
      <c r="H52" s="1">
        <v>0</v>
      </c>
    </row>
    <row r="53" spans="1:8">
      <c r="A53" s="1" t="s">
        <v>51</v>
      </c>
      <c r="B53" s="2">
        <v>0.005165422800928354</v>
      </c>
      <c r="C53" s="1">
        <v>4</v>
      </c>
      <c r="D53" s="1">
        <v>272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0.005165422800928354</v>
      </c>
      <c r="C54" s="1">
        <v>4</v>
      </c>
      <c r="D54" s="1">
        <v>502</v>
      </c>
      <c r="E54" s="1">
        <v>498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0.005165422800928354</v>
      </c>
      <c r="C55" s="1">
        <v>4</v>
      </c>
      <c r="D55" s="1">
        <v>84</v>
      </c>
      <c r="E55" s="1">
        <v>48</v>
      </c>
      <c r="F55" s="1">
        <v>32</v>
      </c>
      <c r="G55" s="1">
        <v>4</v>
      </c>
      <c r="H55" s="1">
        <v>0</v>
      </c>
    </row>
    <row r="56" spans="1:8">
      <c r="A56" s="1" t="s">
        <v>54</v>
      </c>
      <c r="B56" s="2">
        <v>0.003874066984280944</v>
      </c>
      <c r="C56" s="1">
        <v>3</v>
      </c>
      <c r="D56" s="1">
        <v>1011</v>
      </c>
      <c r="E56" s="1">
        <v>1008</v>
      </c>
      <c r="F56" s="1">
        <v>0</v>
      </c>
      <c r="G56" s="1">
        <v>3</v>
      </c>
      <c r="H56" s="1">
        <v>0</v>
      </c>
    </row>
    <row r="188" spans="1:8">
      <c r="A188" t="s">
        <v>187</v>
      </c>
      <c r="B188">
        <f>SUBTOTAL(109,[ram_percent])</f>
        <v>0</v>
      </c>
      <c r="C188">
        <f>SUBTOTAL(109,[ram])</f>
        <v>0</v>
      </c>
      <c r="D188">
        <f>SUBTOTAL(109,[flash])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195</v>
      </c>
      <c r="C2" t="s">
        <v>190</v>
      </c>
      <c r="D2" t="s">
        <v>189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13</v>
      </c>
      <c r="B3" s="2">
        <v>4.491837501525879</v>
      </c>
      <c r="C3" s="1">
        <v>5792</v>
      </c>
      <c r="D3" s="1">
        <v>392</v>
      </c>
      <c r="E3" s="1">
        <v>5292</v>
      </c>
      <c r="F3" s="1">
        <v>472</v>
      </c>
      <c r="G3" s="1">
        <v>28</v>
      </c>
      <c r="H3" s="1">
        <v>364</v>
      </c>
    </row>
    <row r="4" spans="1:8">
      <c r="A4" s="1" t="s">
        <v>55</v>
      </c>
      <c r="B4" s="2">
        <v>3.817131280899048</v>
      </c>
      <c r="C4" s="1">
        <v>4922</v>
      </c>
      <c r="D4" s="1">
        <v>0</v>
      </c>
      <c r="E4" s="1">
        <v>4506</v>
      </c>
      <c r="F4" s="1">
        <v>416</v>
      </c>
      <c r="G4" s="1">
        <v>0</v>
      </c>
      <c r="H4" s="1">
        <v>0</v>
      </c>
    </row>
    <row r="5" spans="1:8">
      <c r="A5" s="1" t="s">
        <v>56</v>
      </c>
      <c r="B5" s="2">
        <v>3.675985813140869</v>
      </c>
      <c r="C5" s="1">
        <v>4740</v>
      </c>
      <c r="D5" s="1">
        <v>0</v>
      </c>
      <c r="E5" s="1">
        <v>3112</v>
      </c>
      <c r="F5" s="1">
        <v>1628</v>
      </c>
      <c r="G5" s="1">
        <v>0</v>
      </c>
      <c r="H5" s="1">
        <v>0</v>
      </c>
    </row>
    <row r="6" spans="1:8">
      <c r="A6" s="1" t="s">
        <v>22</v>
      </c>
      <c r="B6" s="2">
        <v>3.295979022979736</v>
      </c>
      <c r="C6" s="1">
        <v>4250</v>
      </c>
      <c r="D6" s="1">
        <v>132</v>
      </c>
      <c r="E6" s="1">
        <v>4238</v>
      </c>
      <c r="F6" s="1">
        <v>12</v>
      </c>
      <c r="G6" s="1">
        <v>0</v>
      </c>
      <c r="H6" s="1">
        <v>132</v>
      </c>
    </row>
    <row r="7" spans="1:8">
      <c r="A7" s="1" t="s">
        <v>57</v>
      </c>
      <c r="B7" s="2">
        <v>3.035402774810791</v>
      </c>
      <c r="C7" s="1">
        <v>3914</v>
      </c>
      <c r="D7" s="1">
        <v>0</v>
      </c>
      <c r="E7" s="1">
        <v>3914</v>
      </c>
      <c r="F7" s="1">
        <v>0</v>
      </c>
      <c r="G7" s="1">
        <v>0</v>
      </c>
      <c r="H7" s="1">
        <v>0</v>
      </c>
    </row>
    <row r="8" spans="1:8">
      <c r="A8" s="1" t="s">
        <v>58</v>
      </c>
      <c r="B8" s="2">
        <v>2.853929996490479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59</v>
      </c>
      <c r="B9" s="2">
        <v>2.570087909698486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60</v>
      </c>
      <c r="B10" s="2">
        <v>2.473922967910767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61</v>
      </c>
      <c r="B11" s="2">
        <v>2.238163471221924</v>
      </c>
      <c r="C11" s="1">
        <v>2886</v>
      </c>
      <c r="D11" s="1">
        <v>0</v>
      </c>
      <c r="E11" s="1">
        <v>2538</v>
      </c>
      <c r="F11" s="1">
        <v>348</v>
      </c>
      <c r="G11" s="1">
        <v>0</v>
      </c>
      <c r="H11" s="1">
        <v>0</v>
      </c>
    </row>
    <row r="12" spans="1:8">
      <c r="A12" s="1" t="s">
        <v>44</v>
      </c>
      <c r="B12" s="2">
        <v>2.228857278823853</v>
      </c>
      <c r="C12" s="1">
        <v>2874</v>
      </c>
      <c r="D12" s="1">
        <v>8</v>
      </c>
      <c r="E12" s="1">
        <v>2866</v>
      </c>
      <c r="F12" s="1">
        <v>0</v>
      </c>
      <c r="G12" s="1">
        <v>8</v>
      </c>
      <c r="H12" s="1">
        <v>0</v>
      </c>
    </row>
    <row r="13" spans="1:8">
      <c r="A13" s="1" t="s">
        <v>1</v>
      </c>
      <c r="B13" s="2">
        <v>1.89383065700531</v>
      </c>
      <c r="C13" s="1">
        <v>2442</v>
      </c>
      <c r="D13" s="1">
        <v>26768</v>
      </c>
      <c r="E13" s="1">
        <v>2394</v>
      </c>
      <c r="F13" s="1">
        <v>0</v>
      </c>
      <c r="G13" s="1">
        <v>48</v>
      </c>
      <c r="H13" s="1">
        <v>26720</v>
      </c>
    </row>
    <row r="14" spans="1:8">
      <c r="A14" s="1" t="s">
        <v>62</v>
      </c>
      <c r="B14" s="2">
        <v>1.861258625984192</v>
      </c>
      <c r="C14" s="1">
        <v>2400</v>
      </c>
      <c r="D14" s="1">
        <v>0</v>
      </c>
      <c r="E14" s="1">
        <v>2384</v>
      </c>
      <c r="F14" s="1">
        <v>16</v>
      </c>
      <c r="G14" s="1">
        <v>0</v>
      </c>
      <c r="H14" s="1">
        <v>0</v>
      </c>
    </row>
    <row r="15" spans="1:8">
      <c r="A15" s="1" t="s">
        <v>63</v>
      </c>
      <c r="B15" s="2">
        <v>1.824033498764038</v>
      </c>
      <c r="C15" s="1">
        <v>2352</v>
      </c>
      <c r="D15" s="1">
        <v>0</v>
      </c>
      <c r="E15" s="1">
        <v>2352</v>
      </c>
      <c r="F15" s="1">
        <v>0</v>
      </c>
      <c r="G15" s="1">
        <v>0</v>
      </c>
      <c r="H15" s="1">
        <v>0</v>
      </c>
    </row>
    <row r="16" spans="1:8">
      <c r="A16" s="1" t="s">
        <v>64</v>
      </c>
      <c r="B16" s="2">
        <v>1.820931434631348</v>
      </c>
      <c r="C16" s="1">
        <v>2348</v>
      </c>
      <c r="D16" s="1">
        <v>0</v>
      </c>
      <c r="E16" s="1">
        <v>296</v>
      </c>
      <c r="F16" s="1">
        <v>2052</v>
      </c>
      <c r="G16" s="1">
        <v>0</v>
      </c>
      <c r="H16" s="1">
        <v>0</v>
      </c>
    </row>
    <row r="17" spans="1:8">
      <c r="A17" s="1" t="s">
        <v>16</v>
      </c>
      <c r="B17" s="2">
        <v>1.817829251289368</v>
      </c>
      <c r="C17" s="1">
        <v>2344</v>
      </c>
      <c r="D17" s="1">
        <v>300</v>
      </c>
      <c r="E17" s="1">
        <v>2284</v>
      </c>
      <c r="F17" s="1">
        <v>0</v>
      </c>
      <c r="G17" s="1">
        <v>60</v>
      </c>
      <c r="H17" s="1">
        <v>240</v>
      </c>
    </row>
    <row r="18" spans="1:8">
      <c r="A18" s="1" t="s">
        <v>65</v>
      </c>
      <c r="B18" s="2">
        <v>1.720113277435303</v>
      </c>
      <c r="C18" s="1">
        <v>2218</v>
      </c>
      <c r="D18" s="1">
        <v>0</v>
      </c>
      <c r="E18" s="1">
        <v>2218</v>
      </c>
      <c r="F18" s="1">
        <v>0</v>
      </c>
      <c r="G18" s="1">
        <v>0</v>
      </c>
      <c r="H18" s="1">
        <v>0</v>
      </c>
    </row>
    <row r="19" spans="1:8">
      <c r="A19" s="1" t="s">
        <v>66</v>
      </c>
      <c r="B19" s="2">
        <v>1.665826559066773</v>
      </c>
      <c r="C19" s="1">
        <v>2148</v>
      </c>
      <c r="D19" s="1">
        <v>0</v>
      </c>
      <c r="E19" s="1">
        <v>2148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1.659622311592102</v>
      </c>
      <c r="C20" s="1">
        <v>2140</v>
      </c>
      <c r="D20" s="1">
        <v>3752</v>
      </c>
      <c r="E20" s="1">
        <v>2136</v>
      </c>
      <c r="F20" s="1">
        <v>0</v>
      </c>
      <c r="G20" s="1">
        <v>4</v>
      </c>
      <c r="H20" s="1">
        <v>3748</v>
      </c>
    </row>
    <row r="21" spans="1:8">
      <c r="A21" s="1" t="s">
        <v>67</v>
      </c>
      <c r="B21" s="2">
        <v>1.591376185417175</v>
      </c>
      <c r="C21" s="1">
        <v>2052</v>
      </c>
      <c r="D21" s="1">
        <v>0</v>
      </c>
      <c r="E21" s="1">
        <v>0</v>
      </c>
      <c r="F21" s="1">
        <v>2052</v>
      </c>
      <c r="G21" s="1">
        <v>0</v>
      </c>
      <c r="H21" s="1">
        <v>0</v>
      </c>
    </row>
    <row r="22" spans="1:8">
      <c r="A22" s="1" t="s">
        <v>68</v>
      </c>
      <c r="B22" s="2">
        <v>1.516925811767578</v>
      </c>
      <c r="C22" s="1">
        <v>1956</v>
      </c>
      <c r="D22" s="1">
        <v>0</v>
      </c>
      <c r="E22" s="1">
        <v>1636</v>
      </c>
      <c r="F22" s="1">
        <v>320</v>
      </c>
      <c r="G22" s="1">
        <v>0</v>
      </c>
      <c r="H22" s="1">
        <v>0</v>
      </c>
    </row>
    <row r="23" spans="1:8">
      <c r="A23" s="1" t="s">
        <v>69</v>
      </c>
      <c r="B23" s="2">
        <v>1.507619500160217</v>
      </c>
      <c r="C23" s="1">
        <v>1944</v>
      </c>
      <c r="D23" s="1">
        <v>0</v>
      </c>
      <c r="E23" s="1">
        <v>1930</v>
      </c>
      <c r="F23" s="1">
        <v>14</v>
      </c>
      <c r="G23" s="1">
        <v>0</v>
      </c>
      <c r="H23" s="1">
        <v>0</v>
      </c>
    </row>
    <row r="24" spans="1:8">
      <c r="A24" s="1" t="s">
        <v>70</v>
      </c>
      <c r="B24" s="2">
        <v>1.49055802822113</v>
      </c>
      <c r="C24" s="1">
        <v>1922</v>
      </c>
      <c r="D24" s="1">
        <v>0</v>
      </c>
      <c r="E24" s="1">
        <v>1922</v>
      </c>
      <c r="F24" s="1">
        <v>0</v>
      </c>
      <c r="G24" s="1">
        <v>0</v>
      </c>
      <c r="H24" s="1">
        <v>0</v>
      </c>
    </row>
    <row r="25" spans="1:8">
      <c r="A25" s="1" t="s">
        <v>71</v>
      </c>
      <c r="B25" s="2">
        <v>1.473496437072754</v>
      </c>
      <c r="C25" s="1">
        <v>1900</v>
      </c>
      <c r="D25" s="1">
        <v>0</v>
      </c>
      <c r="E25" s="1">
        <v>1900</v>
      </c>
      <c r="F25" s="1">
        <v>0</v>
      </c>
      <c r="G25" s="1">
        <v>0</v>
      </c>
      <c r="H25" s="1">
        <v>0</v>
      </c>
    </row>
    <row r="26" spans="1:8">
      <c r="A26" s="1" t="s">
        <v>72</v>
      </c>
      <c r="B26" s="2">
        <v>1.400597095489502</v>
      </c>
      <c r="C26" s="1">
        <v>1806</v>
      </c>
      <c r="D26" s="1">
        <v>0</v>
      </c>
      <c r="E26" s="1">
        <v>1806</v>
      </c>
      <c r="F26" s="1">
        <v>0</v>
      </c>
      <c r="G26" s="1">
        <v>0</v>
      </c>
      <c r="H26" s="1">
        <v>0</v>
      </c>
    </row>
    <row r="27" spans="1:8">
      <c r="A27" s="1" t="s">
        <v>50</v>
      </c>
      <c r="B27" s="2">
        <v>1.364923000335693</v>
      </c>
      <c r="C27" s="1">
        <v>1760</v>
      </c>
      <c r="D27" s="1">
        <v>4</v>
      </c>
      <c r="E27" s="1">
        <v>1420</v>
      </c>
      <c r="F27" s="1">
        <v>336</v>
      </c>
      <c r="G27" s="1">
        <v>4</v>
      </c>
      <c r="H27" s="1">
        <v>0</v>
      </c>
    </row>
    <row r="28" spans="1:8">
      <c r="A28" s="1" t="s">
        <v>73</v>
      </c>
      <c r="B28" s="2">
        <v>1.247043371200562</v>
      </c>
      <c r="C28" s="1">
        <v>1608</v>
      </c>
      <c r="D28" s="1">
        <v>0</v>
      </c>
      <c r="E28" s="1">
        <v>1608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1.243941187858582</v>
      </c>
      <c r="C29" s="1">
        <v>1604</v>
      </c>
      <c r="D29" s="1">
        <v>268</v>
      </c>
      <c r="E29" s="1">
        <v>1604</v>
      </c>
      <c r="F29" s="1">
        <v>0</v>
      </c>
      <c r="G29" s="1">
        <v>0</v>
      </c>
      <c r="H29" s="1">
        <v>268</v>
      </c>
    </row>
    <row r="30" spans="1:8">
      <c r="A30" s="1" t="s">
        <v>74</v>
      </c>
      <c r="B30" s="2">
        <v>1.132265686988831</v>
      </c>
      <c r="C30" s="1">
        <v>1460</v>
      </c>
      <c r="D30" s="1">
        <v>0</v>
      </c>
      <c r="E30" s="1">
        <v>1460</v>
      </c>
      <c r="F30" s="1">
        <v>0</v>
      </c>
      <c r="G30" s="1">
        <v>0</v>
      </c>
      <c r="H30" s="1">
        <v>0</v>
      </c>
    </row>
    <row r="31" spans="1:8">
      <c r="A31" s="1" t="s">
        <v>14</v>
      </c>
      <c r="B31" s="2">
        <v>1.115204215049744</v>
      </c>
      <c r="C31" s="1">
        <v>1438</v>
      </c>
      <c r="D31" s="1">
        <v>356</v>
      </c>
      <c r="E31" s="1">
        <v>1082</v>
      </c>
      <c r="F31" s="1">
        <v>352</v>
      </c>
      <c r="G31" s="1">
        <v>4</v>
      </c>
      <c r="H31" s="1">
        <v>352</v>
      </c>
    </row>
    <row r="32" spans="1:8">
      <c r="A32" s="1" t="s">
        <v>75</v>
      </c>
      <c r="B32" s="2">
        <v>1.081081032752991</v>
      </c>
      <c r="C32" s="1">
        <v>1394</v>
      </c>
      <c r="D32" s="1">
        <v>0</v>
      </c>
      <c r="E32" s="1">
        <v>1394</v>
      </c>
      <c r="F32" s="1">
        <v>0</v>
      </c>
      <c r="G32" s="1">
        <v>0</v>
      </c>
      <c r="H32" s="1">
        <v>0</v>
      </c>
    </row>
    <row r="33" spans="1:8">
      <c r="A33" s="1" t="s">
        <v>37</v>
      </c>
      <c r="B33" s="2">
        <v>1.076427936553955</v>
      </c>
      <c r="C33" s="1">
        <v>1388</v>
      </c>
      <c r="D33" s="1">
        <v>28</v>
      </c>
      <c r="E33" s="1">
        <v>1360</v>
      </c>
      <c r="F33" s="1">
        <v>28</v>
      </c>
      <c r="G33" s="1">
        <v>0</v>
      </c>
      <c r="H33" s="1">
        <v>28</v>
      </c>
    </row>
    <row r="34" spans="1:8">
      <c r="A34" s="1" t="s">
        <v>76</v>
      </c>
      <c r="B34" s="2">
        <v>0.9678544998168945</v>
      </c>
      <c r="C34" s="1">
        <v>1248</v>
      </c>
      <c r="D34" s="1">
        <v>0</v>
      </c>
      <c r="E34" s="1">
        <v>1248</v>
      </c>
      <c r="F34" s="1">
        <v>0</v>
      </c>
      <c r="G34" s="1">
        <v>0</v>
      </c>
      <c r="H34" s="1">
        <v>0</v>
      </c>
    </row>
    <row r="35" spans="1:8">
      <c r="A35" s="1" t="s">
        <v>77</v>
      </c>
      <c r="B35" s="2">
        <v>0.9461398124694824</v>
      </c>
      <c r="C35" s="1">
        <v>1220</v>
      </c>
      <c r="D35" s="1">
        <v>0</v>
      </c>
      <c r="E35" s="1">
        <v>1220</v>
      </c>
      <c r="F35" s="1">
        <v>0</v>
      </c>
      <c r="G35" s="1">
        <v>0</v>
      </c>
      <c r="H35" s="1">
        <v>0</v>
      </c>
    </row>
    <row r="36" spans="1:8">
      <c r="A36" s="1" t="s">
        <v>78</v>
      </c>
      <c r="B36" s="2">
        <v>0.941486656665802</v>
      </c>
      <c r="C36" s="1">
        <v>1214</v>
      </c>
      <c r="D36" s="1">
        <v>0</v>
      </c>
      <c r="E36" s="1">
        <v>1214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0.912016749382019</v>
      </c>
      <c r="C37" s="1">
        <v>1176</v>
      </c>
      <c r="D37" s="1">
        <v>20</v>
      </c>
      <c r="E37" s="1">
        <v>1156</v>
      </c>
      <c r="F37" s="1">
        <v>0</v>
      </c>
      <c r="G37" s="1">
        <v>20</v>
      </c>
      <c r="H37" s="1">
        <v>0</v>
      </c>
    </row>
    <row r="38" spans="1:8">
      <c r="A38" s="1" t="s">
        <v>31</v>
      </c>
      <c r="B38" s="2">
        <v>0.8918530941009522</v>
      </c>
      <c r="C38" s="1">
        <v>1150</v>
      </c>
      <c r="D38" s="1">
        <v>64</v>
      </c>
      <c r="E38" s="1">
        <v>1126</v>
      </c>
      <c r="F38" s="1">
        <v>8</v>
      </c>
      <c r="G38" s="1">
        <v>16</v>
      </c>
      <c r="H38" s="1">
        <v>48</v>
      </c>
    </row>
    <row r="39" spans="1:8">
      <c r="A39" s="1" t="s">
        <v>34</v>
      </c>
      <c r="B39" s="2">
        <v>0.8391174674034119</v>
      </c>
      <c r="C39" s="1">
        <v>1082</v>
      </c>
      <c r="D39" s="1">
        <v>36</v>
      </c>
      <c r="E39" s="1">
        <v>1070</v>
      </c>
      <c r="F39" s="1">
        <v>12</v>
      </c>
      <c r="G39" s="1">
        <v>0</v>
      </c>
      <c r="H39" s="1">
        <v>36</v>
      </c>
    </row>
    <row r="40" spans="1:8">
      <c r="A40" s="1" t="s">
        <v>28</v>
      </c>
      <c r="B40" s="2">
        <v>0.7972391247749329</v>
      </c>
      <c r="C40" s="1">
        <v>1028</v>
      </c>
      <c r="D40" s="1">
        <v>72</v>
      </c>
      <c r="E40" s="1">
        <v>468</v>
      </c>
      <c r="F40" s="1">
        <v>512</v>
      </c>
      <c r="G40" s="1">
        <v>48</v>
      </c>
      <c r="H40" s="1">
        <v>24</v>
      </c>
    </row>
    <row r="41" spans="1:8">
      <c r="A41" s="1" t="s">
        <v>3</v>
      </c>
      <c r="B41" s="2">
        <v>0.7848307490348816</v>
      </c>
      <c r="C41" s="1">
        <v>1012</v>
      </c>
      <c r="D41" s="1">
        <v>10012</v>
      </c>
      <c r="E41" s="1">
        <v>1012</v>
      </c>
      <c r="F41" s="1">
        <v>0</v>
      </c>
      <c r="G41" s="1">
        <v>0</v>
      </c>
      <c r="H41" s="1">
        <v>10012</v>
      </c>
    </row>
    <row r="42" spans="1:8">
      <c r="A42" s="1" t="s">
        <v>54</v>
      </c>
      <c r="B42" s="2">
        <v>0.784055233001709</v>
      </c>
      <c r="C42" s="1">
        <v>1011</v>
      </c>
      <c r="D42" s="1">
        <v>3</v>
      </c>
      <c r="E42" s="1">
        <v>1008</v>
      </c>
      <c r="F42" s="1">
        <v>0</v>
      </c>
      <c r="G42" s="1">
        <v>3</v>
      </c>
      <c r="H42" s="1">
        <v>0</v>
      </c>
    </row>
    <row r="43" spans="1:8">
      <c r="A43" s="1" t="s">
        <v>79</v>
      </c>
      <c r="B43" s="2">
        <v>0.7755244374275208</v>
      </c>
      <c r="C43" s="1">
        <v>1000</v>
      </c>
      <c r="D43" s="1">
        <v>0</v>
      </c>
      <c r="E43" s="1">
        <v>1000</v>
      </c>
      <c r="F43" s="1">
        <v>0</v>
      </c>
      <c r="G43" s="1">
        <v>0</v>
      </c>
      <c r="H43" s="1">
        <v>0</v>
      </c>
    </row>
    <row r="44" spans="1:8">
      <c r="A44" s="1" t="s">
        <v>29</v>
      </c>
      <c r="B44" s="2">
        <v>0.7522587180137634</v>
      </c>
      <c r="C44" s="1">
        <v>970</v>
      </c>
      <c r="D44" s="1">
        <v>72</v>
      </c>
      <c r="E44" s="1">
        <v>958</v>
      </c>
      <c r="F44" s="1">
        <v>12</v>
      </c>
      <c r="G44" s="1">
        <v>0</v>
      </c>
      <c r="H44" s="1">
        <v>72</v>
      </c>
    </row>
    <row r="45" spans="1:8">
      <c r="A45" s="1" t="s">
        <v>4</v>
      </c>
      <c r="B45" s="2">
        <v>0.7445034980773926</v>
      </c>
      <c r="C45" s="1">
        <v>960</v>
      </c>
      <c r="D45" s="1">
        <v>4096</v>
      </c>
      <c r="E45" s="1">
        <v>960</v>
      </c>
      <c r="F45" s="1">
        <v>0</v>
      </c>
      <c r="G45" s="1">
        <v>0</v>
      </c>
      <c r="H45" s="1">
        <v>4096</v>
      </c>
    </row>
    <row r="46" spans="1:8">
      <c r="A46" s="1" t="s">
        <v>80</v>
      </c>
      <c r="B46" s="2">
        <v>0.7414013743400574</v>
      </c>
      <c r="C46" s="1">
        <v>956</v>
      </c>
      <c r="D46" s="1">
        <v>0</v>
      </c>
      <c r="E46" s="1">
        <v>956</v>
      </c>
      <c r="F46" s="1">
        <v>0</v>
      </c>
      <c r="G46" s="1">
        <v>0</v>
      </c>
      <c r="H46" s="1">
        <v>0</v>
      </c>
    </row>
    <row r="47" spans="1:8">
      <c r="A47" s="1" t="s">
        <v>7</v>
      </c>
      <c r="B47" s="2">
        <v>0.7243398427963257</v>
      </c>
      <c r="C47" s="1">
        <v>934</v>
      </c>
      <c r="D47" s="1">
        <v>2096</v>
      </c>
      <c r="E47" s="1">
        <v>918</v>
      </c>
      <c r="F47" s="1">
        <v>16</v>
      </c>
      <c r="G47" s="1">
        <v>0</v>
      </c>
      <c r="H47" s="1">
        <v>2096</v>
      </c>
    </row>
    <row r="48" spans="1:8">
      <c r="A48" s="1" t="s">
        <v>81</v>
      </c>
      <c r="B48" s="2">
        <v>0.6700531244277954</v>
      </c>
      <c r="C48" s="1">
        <v>864</v>
      </c>
      <c r="D48" s="1">
        <v>0</v>
      </c>
      <c r="E48" s="1">
        <v>864</v>
      </c>
      <c r="F48" s="1">
        <v>0</v>
      </c>
      <c r="G48" s="1">
        <v>0</v>
      </c>
      <c r="H48" s="1">
        <v>0</v>
      </c>
    </row>
    <row r="49" spans="1:8">
      <c r="A49" s="1" t="s">
        <v>82</v>
      </c>
      <c r="B49" s="2">
        <v>0.6607468128204346</v>
      </c>
      <c r="C49" s="1">
        <v>852</v>
      </c>
      <c r="D49" s="1">
        <v>0</v>
      </c>
      <c r="E49" s="1">
        <v>852</v>
      </c>
      <c r="F49" s="1">
        <v>0</v>
      </c>
      <c r="G49" s="1">
        <v>0</v>
      </c>
      <c r="H49" s="1">
        <v>0</v>
      </c>
    </row>
    <row r="50" spans="1:8">
      <c r="A50" s="1" t="s">
        <v>83</v>
      </c>
      <c r="B50" s="2">
        <v>0.6591957807540894</v>
      </c>
      <c r="C50" s="1">
        <v>850</v>
      </c>
      <c r="D50" s="1">
        <v>0</v>
      </c>
      <c r="E50" s="1">
        <v>850</v>
      </c>
      <c r="F50" s="1">
        <v>0</v>
      </c>
      <c r="G50" s="1">
        <v>0</v>
      </c>
      <c r="H50" s="1">
        <v>0</v>
      </c>
    </row>
    <row r="51" spans="1:8">
      <c r="A51" s="1" t="s">
        <v>9</v>
      </c>
      <c r="B51" s="2">
        <v>0.635930061340332</v>
      </c>
      <c r="C51" s="1">
        <v>820</v>
      </c>
      <c r="D51" s="1">
        <v>1648</v>
      </c>
      <c r="E51" s="1">
        <v>816</v>
      </c>
      <c r="F51" s="1">
        <v>0</v>
      </c>
      <c r="G51" s="1">
        <v>4</v>
      </c>
      <c r="H51" s="1">
        <v>1644</v>
      </c>
    </row>
    <row r="52" spans="1:8">
      <c r="A52" s="1" t="s">
        <v>41</v>
      </c>
      <c r="B52" s="2">
        <v>0.6188685297966003</v>
      </c>
      <c r="C52" s="1">
        <v>798</v>
      </c>
      <c r="D52" s="1">
        <v>12</v>
      </c>
      <c r="E52" s="1">
        <v>786</v>
      </c>
      <c r="F52" s="1">
        <v>0</v>
      </c>
      <c r="G52" s="1">
        <v>12</v>
      </c>
      <c r="H52" s="1">
        <v>0</v>
      </c>
    </row>
    <row r="53" spans="1:8">
      <c r="A53" s="1" t="s">
        <v>84</v>
      </c>
      <c r="B53" s="2">
        <v>0.6080111861228943</v>
      </c>
      <c r="C53" s="1">
        <v>784</v>
      </c>
      <c r="D53" s="1">
        <v>0</v>
      </c>
      <c r="E53" s="1">
        <v>784</v>
      </c>
      <c r="F53" s="1">
        <v>0</v>
      </c>
      <c r="G53" s="1">
        <v>0</v>
      </c>
      <c r="H53" s="1">
        <v>0</v>
      </c>
    </row>
    <row r="54" spans="1:8">
      <c r="A54" s="1" t="s">
        <v>18</v>
      </c>
      <c r="B54" s="2">
        <v>0.5862964987754822</v>
      </c>
      <c r="C54" s="1">
        <v>756</v>
      </c>
      <c r="D54" s="1">
        <v>228</v>
      </c>
      <c r="E54" s="1">
        <v>756</v>
      </c>
      <c r="F54" s="1">
        <v>0</v>
      </c>
      <c r="G54" s="1">
        <v>0</v>
      </c>
      <c r="H54" s="1">
        <v>228</v>
      </c>
    </row>
    <row r="55" spans="1:8">
      <c r="A55" s="1" t="s">
        <v>85</v>
      </c>
      <c r="B55" s="2">
        <v>0.5614796876907349</v>
      </c>
      <c r="C55" s="1">
        <v>724</v>
      </c>
      <c r="D55" s="1">
        <v>0</v>
      </c>
      <c r="E55" s="1">
        <v>724</v>
      </c>
      <c r="F55" s="1">
        <v>0</v>
      </c>
      <c r="G55" s="1">
        <v>0</v>
      </c>
      <c r="H55" s="1">
        <v>0</v>
      </c>
    </row>
    <row r="56" spans="1:8">
      <c r="A56" s="1" t="s">
        <v>86</v>
      </c>
      <c r="B56" s="2">
        <v>0.5583776235580444</v>
      </c>
      <c r="C56" s="1">
        <v>720</v>
      </c>
      <c r="D56" s="1">
        <v>0</v>
      </c>
      <c r="E56" s="1">
        <v>720</v>
      </c>
      <c r="F56" s="1">
        <v>0</v>
      </c>
      <c r="G56" s="1">
        <v>0</v>
      </c>
      <c r="H56" s="1">
        <v>0</v>
      </c>
    </row>
    <row r="57" spans="1:8">
      <c r="A57" s="1" t="s">
        <v>87</v>
      </c>
      <c r="B57" s="2">
        <v>0.5304587483406067</v>
      </c>
      <c r="C57" s="1">
        <v>684</v>
      </c>
      <c r="D57" s="1">
        <v>0</v>
      </c>
      <c r="E57" s="1">
        <v>684</v>
      </c>
      <c r="F57" s="1">
        <v>0</v>
      </c>
      <c r="G57" s="1">
        <v>0</v>
      </c>
      <c r="H57" s="1">
        <v>0</v>
      </c>
    </row>
    <row r="58" spans="1:8">
      <c r="A58" s="1" t="s">
        <v>36</v>
      </c>
      <c r="B58" s="2">
        <v>0.5102950930595398</v>
      </c>
      <c r="C58" s="1">
        <v>658</v>
      </c>
      <c r="D58" s="1">
        <v>32</v>
      </c>
      <c r="E58" s="1">
        <v>658</v>
      </c>
      <c r="F58" s="1">
        <v>0</v>
      </c>
      <c r="G58" s="1">
        <v>0</v>
      </c>
      <c r="H58" s="1">
        <v>32</v>
      </c>
    </row>
    <row r="59" spans="1:8">
      <c r="A59" s="1" t="s">
        <v>88</v>
      </c>
      <c r="B59" s="2">
        <v>0.4994377493858337</v>
      </c>
      <c r="C59" s="1">
        <v>644</v>
      </c>
      <c r="D59" s="1">
        <v>0</v>
      </c>
      <c r="E59" s="1">
        <v>644</v>
      </c>
      <c r="F59" s="1">
        <v>0</v>
      </c>
      <c r="G59" s="1">
        <v>0</v>
      </c>
      <c r="H59" s="1">
        <v>0</v>
      </c>
    </row>
    <row r="60" spans="1:8">
      <c r="A60" s="1" t="s">
        <v>8</v>
      </c>
      <c r="B60" s="2">
        <v>0.4808251559734345</v>
      </c>
      <c r="C60" s="1">
        <v>620</v>
      </c>
      <c r="D60" s="1">
        <v>2044</v>
      </c>
      <c r="E60" s="1">
        <v>564</v>
      </c>
      <c r="F60" s="1">
        <v>56</v>
      </c>
      <c r="G60" s="1">
        <v>0</v>
      </c>
      <c r="H60" s="1">
        <v>2044</v>
      </c>
    </row>
    <row r="61" spans="1:8">
      <c r="A61" s="1" t="s">
        <v>89</v>
      </c>
      <c r="B61" s="2">
        <v>0.4792741239070892</v>
      </c>
      <c r="C61" s="1">
        <v>618</v>
      </c>
      <c r="D61" s="1">
        <v>0</v>
      </c>
      <c r="E61" s="1">
        <v>618</v>
      </c>
      <c r="F61" s="1">
        <v>0</v>
      </c>
      <c r="G61" s="1">
        <v>0</v>
      </c>
      <c r="H61" s="1">
        <v>0</v>
      </c>
    </row>
    <row r="62" spans="1:8">
      <c r="A62" s="1" t="s">
        <v>90</v>
      </c>
      <c r="B62" s="2">
        <v>0.4435999989509583</v>
      </c>
      <c r="C62" s="1">
        <v>572</v>
      </c>
      <c r="D62" s="1">
        <v>0</v>
      </c>
      <c r="E62" s="1">
        <v>564</v>
      </c>
      <c r="F62" s="1">
        <v>8</v>
      </c>
      <c r="G62" s="1">
        <v>0</v>
      </c>
      <c r="H62" s="1">
        <v>0</v>
      </c>
    </row>
    <row r="63" spans="1:8">
      <c r="A63" s="1" t="s">
        <v>91</v>
      </c>
      <c r="B63" s="2">
        <v>0.4311915934085846</v>
      </c>
      <c r="C63" s="1">
        <v>556</v>
      </c>
      <c r="D63" s="1">
        <v>0</v>
      </c>
      <c r="E63" s="1">
        <v>44</v>
      </c>
      <c r="F63" s="1">
        <v>512</v>
      </c>
      <c r="G63" s="1">
        <v>0</v>
      </c>
      <c r="H63" s="1">
        <v>0</v>
      </c>
    </row>
    <row r="64" spans="1:8">
      <c r="A64" s="1" t="s">
        <v>20</v>
      </c>
      <c r="B64" s="2">
        <v>0.424987405538559</v>
      </c>
      <c r="C64" s="1">
        <v>548</v>
      </c>
      <c r="D64" s="1">
        <v>204</v>
      </c>
      <c r="E64" s="1">
        <v>548</v>
      </c>
      <c r="F64" s="1">
        <v>0</v>
      </c>
      <c r="G64" s="1">
        <v>0</v>
      </c>
      <c r="H64" s="1">
        <v>204</v>
      </c>
    </row>
    <row r="65" spans="1:8">
      <c r="A65" s="1" t="s">
        <v>92</v>
      </c>
      <c r="B65" s="2">
        <v>0.4218853116035461</v>
      </c>
      <c r="C65" s="1">
        <v>544</v>
      </c>
      <c r="D65" s="1">
        <v>0</v>
      </c>
      <c r="E65" s="1">
        <v>320</v>
      </c>
      <c r="F65" s="1">
        <v>224</v>
      </c>
      <c r="G65" s="1">
        <v>0</v>
      </c>
      <c r="H65" s="1">
        <v>0</v>
      </c>
    </row>
    <row r="66" spans="1:8">
      <c r="A66" s="1" t="s">
        <v>2</v>
      </c>
      <c r="B66" s="2">
        <v>0.3970685303211212</v>
      </c>
      <c r="C66" s="1">
        <v>512</v>
      </c>
      <c r="D66" s="1">
        <v>16416</v>
      </c>
      <c r="E66" s="1">
        <v>480</v>
      </c>
      <c r="F66" s="1">
        <v>0</v>
      </c>
      <c r="G66" s="1">
        <v>32</v>
      </c>
      <c r="H66" s="1">
        <v>16384</v>
      </c>
    </row>
    <row r="67" spans="1:8">
      <c r="A67" s="1" t="s">
        <v>11</v>
      </c>
      <c r="B67" s="2">
        <v>0.393966406583786</v>
      </c>
      <c r="C67" s="1">
        <v>508</v>
      </c>
      <c r="D67" s="1">
        <v>1024</v>
      </c>
      <c r="E67" s="1">
        <v>36</v>
      </c>
      <c r="F67" s="1">
        <v>472</v>
      </c>
      <c r="G67" s="1">
        <v>0</v>
      </c>
      <c r="H67" s="1">
        <v>1024</v>
      </c>
    </row>
    <row r="68" spans="1:8">
      <c r="A68" s="1" t="s">
        <v>93</v>
      </c>
      <c r="B68" s="2">
        <v>0.3908643126487732</v>
      </c>
      <c r="C68" s="1">
        <v>504</v>
      </c>
      <c r="D68" s="1">
        <v>0</v>
      </c>
      <c r="E68" s="1">
        <v>504</v>
      </c>
      <c r="F68" s="1">
        <v>0</v>
      </c>
      <c r="G68" s="1">
        <v>0</v>
      </c>
      <c r="H68" s="1">
        <v>0</v>
      </c>
    </row>
    <row r="69" spans="1:8">
      <c r="A69" s="1" t="s">
        <v>5</v>
      </c>
      <c r="B69" s="2">
        <v>0.389313280582428</v>
      </c>
      <c r="C69" s="1">
        <v>502</v>
      </c>
      <c r="D69" s="1">
        <v>4096</v>
      </c>
      <c r="E69" s="1">
        <v>502</v>
      </c>
      <c r="F69" s="1">
        <v>0</v>
      </c>
      <c r="G69" s="1">
        <v>0</v>
      </c>
      <c r="H69" s="1">
        <v>4096</v>
      </c>
    </row>
    <row r="70" spans="1:8">
      <c r="A70" s="1" t="s">
        <v>52</v>
      </c>
      <c r="B70" s="2">
        <v>0.389313280582428</v>
      </c>
      <c r="C70" s="1">
        <v>502</v>
      </c>
      <c r="D70" s="1">
        <v>4</v>
      </c>
      <c r="E70" s="1">
        <v>498</v>
      </c>
      <c r="F70" s="1">
        <v>0</v>
      </c>
      <c r="G70" s="1">
        <v>4</v>
      </c>
      <c r="H70" s="1">
        <v>0</v>
      </c>
    </row>
    <row r="71" spans="1:8">
      <c r="A71" s="1" t="s">
        <v>10</v>
      </c>
      <c r="B71" s="2">
        <v>0.3862111866474152</v>
      </c>
      <c r="C71" s="1">
        <v>498</v>
      </c>
      <c r="D71" s="1">
        <v>1031</v>
      </c>
      <c r="E71" s="1">
        <v>498</v>
      </c>
      <c r="F71" s="1">
        <v>0</v>
      </c>
      <c r="G71" s="1">
        <v>0</v>
      </c>
      <c r="H71" s="1">
        <v>1031</v>
      </c>
    </row>
    <row r="72" spans="1:8">
      <c r="A72" s="1" t="s">
        <v>94</v>
      </c>
      <c r="B72" s="2">
        <v>0.3707006871700287</v>
      </c>
      <c r="C72" s="1">
        <v>478</v>
      </c>
      <c r="D72" s="1">
        <v>0</v>
      </c>
      <c r="E72" s="1">
        <v>478</v>
      </c>
      <c r="F72" s="1">
        <v>0</v>
      </c>
      <c r="G72" s="1">
        <v>0</v>
      </c>
      <c r="H72" s="1">
        <v>0</v>
      </c>
    </row>
    <row r="73" spans="1:8">
      <c r="A73" s="1" t="s">
        <v>95</v>
      </c>
      <c r="B73" s="2">
        <v>0.3691496253013611</v>
      </c>
      <c r="C73" s="1">
        <v>476</v>
      </c>
      <c r="D73" s="1">
        <v>0</v>
      </c>
      <c r="E73" s="1">
        <v>476</v>
      </c>
      <c r="F73" s="1">
        <v>0</v>
      </c>
      <c r="G73" s="1">
        <v>0</v>
      </c>
      <c r="H73" s="1">
        <v>0</v>
      </c>
    </row>
    <row r="74" spans="1:8">
      <c r="A74" s="1" t="s">
        <v>96</v>
      </c>
      <c r="B74" s="2">
        <v>0.3629454374313355</v>
      </c>
      <c r="C74" s="1">
        <v>468</v>
      </c>
      <c r="D74" s="1">
        <v>0</v>
      </c>
      <c r="E74" s="1">
        <v>468</v>
      </c>
      <c r="F74" s="1">
        <v>0</v>
      </c>
      <c r="G74" s="1">
        <v>0</v>
      </c>
      <c r="H74" s="1">
        <v>0</v>
      </c>
    </row>
    <row r="75" spans="1:8">
      <c r="A75" s="1" t="s">
        <v>35</v>
      </c>
      <c r="B75" s="2">
        <v>0.353639155626297</v>
      </c>
      <c r="C75" s="1">
        <v>456</v>
      </c>
      <c r="D75" s="1">
        <v>32</v>
      </c>
      <c r="E75" s="1">
        <v>424</v>
      </c>
      <c r="F75" s="1">
        <v>0</v>
      </c>
      <c r="G75" s="1">
        <v>32</v>
      </c>
      <c r="H75" s="1">
        <v>0</v>
      </c>
    </row>
    <row r="76" spans="1:8">
      <c r="A76" s="1" t="s">
        <v>97</v>
      </c>
      <c r="B76" s="2">
        <v>0.3474349677562714</v>
      </c>
      <c r="C76" s="1">
        <v>448</v>
      </c>
      <c r="D76" s="1">
        <v>0</v>
      </c>
      <c r="E76" s="1">
        <v>384</v>
      </c>
      <c r="F76" s="1">
        <v>64</v>
      </c>
      <c r="G76" s="1">
        <v>0</v>
      </c>
      <c r="H76" s="1">
        <v>0</v>
      </c>
    </row>
    <row r="77" spans="1:8">
      <c r="A77" s="1" t="s">
        <v>98</v>
      </c>
      <c r="B77" s="2">
        <v>0.3350265622138977</v>
      </c>
      <c r="C77" s="1">
        <v>432</v>
      </c>
      <c r="D77" s="1">
        <v>0</v>
      </c>
      <c r="E77" s="1">
        <v>420</v>
      </c>
      <c r="F77" s="1">
        <v>12</v>
      </c>
      <c r="G77" s="1">
        <v>0</v>
      </c>
      <c r="H77" s="1">
        <v>0</v>
      </c>
    </row>
    <row r="78" spans="1:8">
      <c r="A78" s="1" t="s">
        <v>99</v>
      </c>
      <c r="B78" s="2">
        <v>0.3303734064102173</v>
      </c>
      <c r="C78" s="1">
        <v>426</v>
      </c>
      <c r="D78" s="1">
        <v>0</v>
      </c>
      <c r="E78" s="1">
        <v>426</v>
      </c>
      <c r="F78" s="1">
        <v>0</v>
      </c>
      <c r="G78" s="1">
        <v>0</v>
      </c>
      <c r="H78" s="1">
        <v>0</v>
      </c>
    </row>
    <row r="79" spans="1:8">
      <c r="A79" s="1" t="s">
        <v>45</v>
      </c>
      <c r="B79" s="2">
        <v>0.3303734064102173</v>
      </c>
      <c r="C79" s="1">
        <v>426</v>
      </c>
      <c r="D79" s="1">
        <v>8</v>
      </c>
      <c r="E79" s="1">
        <v>418</v>
      </c>
      <c r="F79" s="1">
        <v>0</v>
      </c>
      <c r="G79" s="1">
        <v>8</v>
      </c>
      <c r="H79" s="1">
        <v>0</v>
      </c>
    </row>
    <row r="80" spans="1:8">
      <c r="A80" s="1" t="s">
        <v>100</v>
      </c>
      <c r="B80" s="2">
        <v>0.317965030670166</v>
      </c>
      <c r="C80" s="1">
        <v>410</v>
      </c>
      <c r="D80" s="1">
        <v>0</v>
      </c>
      <c r="E80" s="1">
        <v>330</v>
      </c>
      <c r="F80" s="1">
        <v>80</v>
      </c>
      <c r="G80" s="1">
        <v>0</v>
      </c>
      <c r="H80" s="1">
        <v>0</v>
      </c>
    </row>
    <row r="81" spans="1:8">
      <c r="A81" s="1" t="s">
        <v>101</v>
      </c>
      <c r="B81" s="2">
        <v>0.317965030670166</v>
      </c>
      <c r="C81" s="1">
        <v>410</v>
      </c>
      <c r="D81" s="1">
        <v>0</v>
      </c>
      <c r="E81" s="1">
        <v>0</v>
      </c>
      <c r="F81" s="1">
        <v>410</v>
      </c>
      <c r="G81" s="1">
        <v>0</v>
      </c>
      <c r="H81" s="1">
        <v>0</v>
      </c>
    </row>
    <row r="82" spans="1:8">
      <c r="A82" s="1" t="s">
        <v>32</v>
      </c>
      <c r="B82" s="2">
        <v>0.3164139688014984</v>
      </c>
      <c r="C82" s="1">
        <v>408</v>
      </c>
      <c r="D82" s="1">
        <v>44</v>
      </c>
      <c r="E82" s="1">
        <v>344</v>
      </c>
      <c r="F82" s="1">
        <v>20</v>
      </c>
      <c r="G82" s="1">
        <v>44</v>
      </c>
      <c r="H82" s="1">
        <v>0</v>
      </c>
    </row>
    <row r="83" spans="1:8">
      <c r="A83" s="1" t="s">
        <v>102</v>
      </c>
      <c r="B83" s="2">
        <v>0.3102097809314728</v>
      </c>
      <c r="C83" s="1">
        <v>400</v>
      </c>
      <c r="D83" s="1">
        <v>0</v>
      </c>
      <c r="E83" s="1">
        <v>400</v>
      </c>
      <c r="F83" s="1">
        <v>0</v>
      </c>
      <c r="G83" s="1">
        <v>0</v>
      </c>
      <c r="H83" s="1">
        <v>0</v>
      </c>
    </row>
    <row r="84" spans="1:8">
      <c r="A84" s="1" t="s">
        <v>27</v>
      </c>
      <c r="B84" s="2">
        <v>0.3102097809314728</v>
      </c>
      <c r="C84" s="1">
        <v>400</v>
      </c>
      <c r="D84" s="1">
        <v>72</v>
      </c>
      <c r="E84" s="1">
        <v>392</v>
      </c>
      <c r="F84" s="1">
        <v>0</v>
      </c>
      <c r="G84" s="1">
        <v>8</v>
      </c>
      <c r="H84" s="1">
        <v>64</v>
      </c>
    </row>
    <row r="85" spans="1:8">
      <c r="A85" s="1" t="s">
        <v>103</v>
      </c>
      <c r="B85" s="2">
        <v>0.2884950935840607</v>
      </c>
      <c r="C85" s="1">
        <v>372</v>
      </c>
      <c r="D85" s="1">
        <v>0</v>
      </c>
      <c r="E85" s="1">
        <v>340</v>
      </c>
      <c r="F85" s="1">
        <v>32</v>
      </c>
      <c r="G85" s="1">
        <v>0</v>
      </c>
      <c r="H85" s="1">
        <v>0</v>
      </c>
    </row>
    <row r="86" spans="1:8">
      <c r="A86" s="1" t="s">
        <v>104</v>
      </c>
      <c r="B86" s="2">
        <v>0.2838419377803803</v>
      </c>
      <c r="C86" s="1">
        <v>366</v>
      </c>
      <c r="D86" s="1">
        <v>0</v>
      </c>
      <c r="E86" s="1">
        <v>366</v>
      </c>
      <c r="F86" s="1">
        <v>0</v>
      </c>
      <c r="G86" s="1">
        <v>0</v>
      </c>
      <c r="H86" s="1">
        <v>0</v>
      </c>
    </row>
    <row r="87" spans="1:8">
      <c r="A87" s="1" t="s">
        <v>15</v>
      </c>
      <c r="B87" s="2">
        <v>0.2667804062366486</v>
      </c>
      <c r="C87" s="1">
        <v>344</v>
      </c>
      <c r="D87" s="1">
        <v>340</v>
      </c>
      <c r="E87" s="1">
        <v>344</v>
      </c>
      <c r="F87" s="1">
        <v>0</v>
      </c>
      <c r="G87" s="1">
        <v>0</v>
      </c>
      <c r="H87" s="1">
        <v>340</v>
      </c>
    </row>
    <row r="88" spans="1:8">
      <c r="A88" s="1" t="s">
        <v>105</v>
      </c>
      <c r="B88" s="2">
        <v>0.2605762183666229</v>
      </c>
      <c r="C88" s="1">
        <v>336</v>
      </c>
      <c r="D88" s="1">
        <v>0</v>
      </c>
      <c r="E88" s="1">
        <v>336</v>
      </c>
      <c r="F88" s="1">
        <v>0</v>
      </c>
      <c r="G88" s="1">
        <v>0</v>
      </c>
      <c r="H88" s="1">
        <v>0</v>
      </c>
    </row>
    <row r="89" spans="1:8">
      <c r="A89" s="1" t="s">
        <v>106</v>
      </c>
      <c r="B89" s="2">
        <v>0.2590251564979553</v>
      </c>
      <c r="C89" s="1">
        <v>334</v>
      </c>
      <c r="D89" s="1">
        <v>0</v>
      </c>
      <c r="E89" s="1">
        <v>334</v>
      </c>
      <c r="F89" s="1">
        <v>0</v>
      </c>
      <c r="G89" s="1">
        <v>0</v>
      </c>
      <c r="H89" s="1">
        <v>0</v>
      </c>
    </row>
    <row r="90" spans="1:8">
      <c r="A90" s="1" t="s">
        <v>21</v>
      </c>
      <c r="B90" s="2">
        <v>0.2574741244316101</v>
      </c>
      <c r="C90" s="1">
        <v>332</v>
      </c>
      <c r="D90" s="1">
        <v>200</v>
      </c>
      <c r="E90" s="1">
        <v>332</v>
      </c>
      <c r="F90" s="1">
        <v>0</v>
      </c>
      <c r="G90" s="1">
        <v>0</v>
      </c>
      <c r="H90" s="1">
        <v>200</v>
      </c>
    </row>
    <row r="91" spans="1:8">
      <c r="A91" s="1" t="s">
        <v>107</v>
      </c>
      <c r="B91" s="2">
        <v>0.2512699067592621</v>
      </c>
      <c r="C91" s="1">
        <v>324</v>
      </c>
      <c r="D91" s="1">
        <v>0</v>
      </c>
      <c r="E91" s="1">
        <v>324</v>
      </c>
      <c r="F91" s="1">
        <v>0</v>
      </c>
      <c r="G91" s="1">
        <v>0</v>
      </c>
      <c r="H91" s="1">
        <v>0</v>
      </c>
    </row>
    <row r="92" spans="1:8">
      <c r="A92" s="1" t="s">
        <v>108</v>
      </c>
      <c r="B92" s="2">
        <v>0.2388615310192108</v>
      </c>
      <c r="C92" s="1">
        <v>308</v>
      </c>
      <c r="D92" s="1">
        <v>0</v>
      </c>
      <c r="E92" s="1">
        <v>292</v>
      </c>
      <c r="F92" s="1">
        <v>16</v>
      </c>
      <c r="G92" s="1">
        <v>0</v>
      </c>
      <c r="H92" s="1">
        <v>0</v>
      </c>
    </row>
    <row r="93" spans="1:8">
      <c r="A93" s="1" t="s">
        <v>30</v>
      </c>
      <c r="B93" s="2">
        <v>0.2264531403779984</v>
      </c>
      <c r="C93" s="1">
        <v>292</v>
      </c>
      <c r="D93" s="1">
        <v>68</v>
      </c>
      <c r="E93" s="1">
        <v>292</v>
      </c>
      <c r="F93" s="1">
        <v>0</v>
      </c>
      <c r="G93" s="1">
        <v>0</v>
      </c>
      <c r="H93" s="1">
        <v>68</v>
      </c>
    </row>
    <row r="94" spans="1:8">
      <c r="A94" s="1" t="s">
        <v>51</v>
      </c>
      <c r="B94" s="2">
        <v>0.2109426558017731</v>
      </c>
      <c r="C94" s="1">
        <v>272</v>
      </c>
      <c r="D94" s="1">
        <v>4</v>
      </c>
      <c r="E94" s="1">
        <v>268</v>
      </c>
      <c r="F94" s="1">
        <v>0</v>
      </c>
      <c r="G94" s="1">
        <v>4</v>
      </c>
      <c r="H94" s="1">
        <v>0</v>
      </c>
    </row>
    <row r="95" spans="1:8">
      <c r="A95" s="1" t="s">
        <v>109</v>
      </c>
      <c r="B95" s="2">
        <v>0.2109426558017731</v>
      </c>
      <c r="C95" s="1">
        <v>272</v>
      </c>
      <c r="D95" s="1">
        <v>0</v>
      </c>
      <c r="E95" s="1">
        <v>272</v>
      </c>
      <c r="F95" s="1">
        <v>0</v>
      </c>
      <c r="G95" s="1">
        <v>0</v>
      </c>
      <c r="H95" s="1">
        <v>0</v>
      </c>
    </row>
    <row r="96" spans="1:8">
      <c r="A96" s="1" t="s">
        <v>25</v>
      </c>
      <c r="B96" s="2">
        <v>0.1954321563243866</v>
      </c>
      <c r="C96" s="1">
        <v>252</v>
      </c>
      <c r="D96" s="1">
        <v>84</v>
      </c>
      <c r="E96" s="1">
        <v>252</v>
      </c>
      <c r="F96" s="1">
        <v>0</v>
      </c>
      <c r="G96" s="1">
        <v>0</v>
      </c>
      <c r="H96" s="1">
        <v>84</v>
      </c>
    </row>
    <row r="97" spans="1:8">
      <c r="A97" s="1" t="s">
        <v>110</v>
      </c>
      <c r="B97" s="2">
        <v>0.1907790154218674</v>
      </c>
      <c r="C97" s="1">
        <v>246</v>
      </c>
      <c r="D97" s="1">
        <v>0</v>
      </c>
      <c r="E97" s="1">
        <v>210</v>
      </c>
      <c r="F97" s="1">
        <v>36</v>
      </c>
      <c r="G97" s="1">
        <v>0</v>
      </c>
      <c r="H97" s="1">
        <v>0</v>
      </c>
    </row>
    <row r="98" spans="1:8">
      <c r="A98" s="1" t="s">
        <v>19</v>
      </c>
      <c r="B98" s="2">
        <v>0.1876769214868546</v>
      </c>
      <c r="C98" s="1">
        <v>242</v>
      </c>
      <c r="D98" s="1">
        <v>224</v>
      </c>
      <c r="E98" s="1">
        <v>242</v>
      </c>
      <c r="F98" s="1">
        <v>0</v>
      </c>
      <c r="G98" s="1">
        <v>0</v>
      </c>
      <c r="H98" s="1">
        <v>224</v>
      </c>
    </row>
    <row r="99" spans="1:8">
      <c r="A99" s="1" t="s">
        <v>111</v>
      </c>
      <c r="B99" s="2">
        <v>0.1861258745193481</v>
      </c>
      <c r="C99" s="1">
        <v>240</v>
      </c>
      <c r="D99" s="1">
        <v>0</v>
      </c>
      <c r="E99" s="1">
        <v>224</v>
      </c>
      <c r="F99" s="1">
        <v>16</v>
      </c>
      <c r="G99" s="1">
        <v>0</v>
      </c>
      <c r="H99" s="1">
        <v>0</v>
      </c>
    </row>
    <row r="100" spans="1:8">
      <c r="A100" s="1" t="s">
        <v>112</v>
      </c>
      <c r="B100" s="2">
        <v>0.1814727187156677</v>
      </c>
      <c r="C100" s="1">
        <v>234</v>
      </c>
      <c r="D100" s="1">
        <v>0</v>
      </c>
      <c r="E100" s="1">
        <v>234</v>
      </c>
      <c r="F100" s="1">
        <v>0</v>
      </c>
      <c r="G100" s="1">
        <v>0</v>
      </c>
      <c r="H100" s="1">
        <v>0</v>
      </c>
    </row>
    <row r="101" spans="1:8">
      <c r="A101" s="1" t="s">
        <v>113</v>
      </c>
      <c r="B101" s="2">
        <v>0.1799216717481613</v>
      </c>
      <c r="C101" s="1">
        <v>232</v>
      </c>
      <c r="D101" s="1">
        <v>0</v>
      </c>
      <c r="E101" s="1">
        <v>200</v>
      </c>
      <c r="F101" s="1">
        <v>32</v>
      </c>
      <c r="G101" s="1">
        <v>0</v>
      </c>
      <c r="H101" s="1">
        <v>0</v>
      </c>
    </row>
    <row r="102" spans="1:8">
      <c r="A102" s="1" t="s">
        <v>114</v>
      </c>
      <c r="B102" s="2">
        <v>0.1768195778131485</v>
      </c>
      <c r="C102" s="1">
        <v>228</v>
      </c>
      <c r="D102" s="1">
        <v>0</v>
      </c>
      <c r="E102" s="1">
        <v>228</v>
      </c>
      <c r="F102" s="1">
        <v>0</v>
      </c>
      <c r="G102" s="1">
        <v>0</v>
      </c>
      <c r="H102" s="1">
        <v>0</v>
      </c>
    </row>
    <row r="103" spans="1:8">
      <c r="A103" s="1" t="s">
        <v>24</v>
      </c>
      <c r="B103" s="2">
        <v>0.1768195778131485</v>
      </c>
      <c r="C103" s="1">
        <v>228</v>
      </c>
      <c r="D103" s="1">
        <v>100</v>
      </c>
      <c r="E103" s="1">
        <v>228</v>
      </c>
      <c r="F103" s="1">
        <v>0</v>
      </c>
      <c r="G103" s="1">
        <v>0</v>
      </c>
      <c r="H103" s="1">
        <v>100</v>
      </c>
    </row>
    <row r="104" spans="1:8">
      <c r="A104" s="1" t="s">
        <v>115</v>
      </c>
      <c r="B104" s="2">
        <v>0.1721664220094681</v>
      </c>
      <c r="C104" s="1">
        <v>222</v>
      </c>
      <c r="D104" s="1">
        <v>0</v>
      </c>
      <c r="E104" s="1">
        <v>222</v>
      </c>
      <c r="F104" s="1">
        <v>0</v>
      </c>
      <c r="G104" s="1">
        <v>0</v>
      </c>
      <c r="H104" s="1">
        <v>0</v>
      </c>
    </row>
    <row r="105" spans="1:8">
      <c r="A105" s="1" t="s">
        <v>116</v>
      </c>
      <c r="B105" s="2">
        <v>0.1721664220094681</v>
      </c>
      <c r="C105" s="1">
        <v>222</v>
      </c>
      <c r="D105" s="1">
        <v>0</v>
      </c>
      <c r="E105" s="1">
        <v>222</v>
      </c>
      <c r="F105" s="1">
        <v>0</v>
      </c>
      <c r="G105" s="1">
        <v>0</v>
      </c>
      <c r="H105" s="1">
        <v>0</v>
      </c>
    </row>
    <row r="106" spans="1:8">
      <c r="A106" s="1" t="s">
        <v>117</v>
      </c>
      <c r="B106" s="2">
        <v>0.1706153750419617</v>
      </c>
      <c r="C106" s="1">
        <v>220</v>
      </c>
      <c r="D106" s="1">
        <v>0</v>
      </c>
      <c r="E106" s="1">
        <v>220</v>
      </c>
      <c r="F106" s="1">
        <v>0</v>
      </c>
      <c r="G106" s="1">
        <v>0</v>
      </c>
      <c r="H106" s="1">
        <v>0</v>
      </c>
    </row>
    <row r="107" spans="1:8">
      <c r="A107" s="1" t="s">
        <v>118</v>
      </c>
      <c r="B107" s="2">
        <v>0.1706153750419617</v>
      </c>
      <c r="C107" s="1">
        <v>220</v>
      </c>
      <c r="D107" s="1">
        <v>0</v>
      </c>
      <c r="E107" s="1">
        <v>204</v>
      </c>
      <c r="F107" s="1">
        <v>16</v>
      </c>
      <c r="G107" s="1">
        <v>0</v>
      </c>
      <c r="H107" s="1">
        <v>0</v>
      </c>
    </row>
    <row r="108" spans="1:8">
      <c r="A108" s="1" t="s">
        <v>38</v>
      </c>
      <c r="B108" s="2">
        <v>0.1489006876945496</v>
      </c>
      <c r="C108" s="1">
        <v>192</v>
      </c>
      <c r="D108" s="1">
        <v>20</v>
      </c>
      <c r="E108" s="1">
        <v>192</v>
      </c>
      <c r="F108" s="1">
        <v>0</v>
      </c>
      <c r="G108" s="1">
        <v>0</v>
      </c>
      <c r="H108" s="1">
        <v>20</v>
      </c>
    </row>
    <row r="109" spans="1:8">
      <c r="A109" s="1" t="s">
        <v>119</v>
      </c>
      <c r="B109" s="2">
        <v>0.1457985937595367</v>
      </c>
      <c r="C109" s="1">
        <v>188</v>
      </c>
      <c r="D109" s="1">
        <v>0</v>
      </c>
      <c r="E109" s="1">
        <v>188</v>
      </c>
      <c r="F109" s="1">
        <v>0</v>
      </c>
      <c r="G109" s="1">
        <v>0</v>
      </c>
      <c r="H109" s="1">
        <v>0</v>
      </c>
    </row>
    <row r="110" spans="1:8">
      <c r="A110" s="1" t="s">
        <v>120</v>
      </c>
      <c r="B110" s="2">
        <v>0.1442475467920303</v>
      </c>
      <c r="C110" s="1">
        <v>186</v>
      </c>
      <c r="D110" s="1">
        <v>0</v>
      </c>
      <c r="E110" s="1">
        <v>186</v>
      </c>
      <c r="F110" s="1">
        <v>0</v>
      </c>
      <c r="G110" s="1">
        <v>0</v>
      </c>
      <c r="H110" s="1">
        <v>0</v>
      </c>
    </row>
    <row r="111" spans="1:8">
      <c r="A111" s="1" t="s">
        <v>121</v>
      </c>
      <c r="B111" s="2">
        <v>0.1364922970533371</v>
      </c>
      <c r="C111" s="1">
        <v>176</v>
      </c>
      <c r="D111" s="1">
        <v>0</v>
      </c>
      <c r="E111" s="1">
        <v>176</v>
      </c>
      <c r="F111" s="1">
        <v>0</v>
      </c>
      <c r="G111" s="1">
        <v>0</v>
      </c>
      <c r="H111" s="1">
        <v>0</v>
      </c>
    </row>
    <row r="112" spans="1:8">
      <c r="A112" s="1" t="s">
        <v>122</v>
      </c>
      <c r="B112" s="2">
        <v>0.1364922970533371</v>
      </c>
      <c r="C112" s="1">
        <v>176</v>
      </c>
      <c r="D112" s="1">
        <v>0</v>
      </c>
      <c r="E112" s="1">
        <v>176</v>
      </c>
      <c r="F112" s="1">
        <v>0</v>
      </c>
      <c r="G112" s="1">
        <v>0</v>
      </c>
      <c r="H112" s="1">
        <v>0</v>
      </c>
    </row>
    <row r="113" spans="1:8">
      <c r="A113" s="1" t="s">
        <v>43</v>
      </c>
      <c r="B113" s="2">
        <v>0.1333902031183243</v>
      </c>
      <c r="C113" s="1">
        <v>172</v>
      </c>
      <c r="D113" s="1">
        <v>12</v>
      </c>
      <c r="E113" s="1">
        <v>148</v>
      </c>
      <c r="F113" s="1">
        <v>12</v>
      </c>
      <c r="G113" s="1">
        <v>12</v>
      </c>
      <c r="H113" s="1">
        <v>0</v>
      </c>
    </row>
    <row r="114" spans="1:8">
      <c r="A114" s="1" t="s">
        <v>123</v>
      </c>
      <c r="B114" s="2">
        <v>0.1225328594446182</v>
      </c>
      <c r="C114" s="1">
        <v>158</v>
      </c>
      <c r="D114" s="1">
        <v>0</v>
      </c>
      <c r="E114" s="1">
        <v>158</v>
      </c>
      <c r="F114" s="1">
        <v>0</v>
      </c>
      <c r="G114" s="1">
        <v>0</v>
      </c>
      <c r="H114" s="1">
        <v>0</v>
      </c>
    </row>
    <row r="115" spans="1:8">
      <c r="A115" s="1" t="s">
        <v>124</v>
      </c>
      <c r="B115" s="2">
        <v>0.1194307655096054</v>
      </c>
      <c r="C115" s="1">
        <v>154</v>
      </c>
      <c r="D115" s="1">
        <v>0</v>
      </c>
      <c r="E115" s="1">
        <v>154</v>
      </c>
      <c r="F115" s="1">
        <v>0</v>
      </c>
      <c r="G115" s="1">
        <v>0</v>
      </c>
      <c r="H115" s="1">
        <v>0</v>
      </c>
    </row>
    <row r="116" spans="1:8">
      <c r="A116" s="1" t="s">
        <v>125</v>
      </c>
      <c r="B116" s="2">
        <v>0.117879718542099</v>
      </c>
      <c r="C116" s="1">
        <v>152</v>
      </c>
      <c r="D116" s="1">
        <v>0</v>
      </c>
      <c r="E116" s="1">
        <v>152</v>
      </c>
      <c r="F116" s="1">
        <v>0</v>
      </c>
      <c r="G116" s="1">
        <v>0</v>
      </c>
      <c r="H116" s="1">
        <v>0</v>
      </c>
    </row>
    <row r="117" spans="1:8">
      <c r="A117" s="1" t="s">
        <v>126</v>
      </c>
      <c r="B117" s="2">
        <v>0.1116755232214928</v>
      </c>
      <c r="C117" s="1">
        <v>144</v>
      </c>
      <c r="D117" s="1">
        <v>0</v>
      </c>
      <c r="E117" s="1">
        <v>144</v>
      </c>
      <c r="F117" s="1">
        <v>0</v>
      </c>
      <c r="G117" s="1">
        <v>0</v>
      </c>
      <c r="H117" s="1">
        <v>0</v>
      </c>
    </row>
    <row r="118" spans="1:8">
      <c r="A118" s="1" t="s">
        <v>40</v>
      </c>
      <c r="B118" s="2">
        <v>0.1101244688034058</v>
      </c>
      <c r="C118" s="1">
        <v>142</v>
      </c>
      <c r="D118" s="1">
        <v>12</v>
      </c>
      <c r="E118" s="1">
        <v>130</v>
      </c>
      <c r="F118" s="1">
        <v>0</v>
      </c>
      <c r="G118" s="1">
        <v>12</v>
      </c>
      <c r="H118" s="1">
        <v>0</v>
      </c>
    </row>
    <row r="119" spans="1:8">
      <c r="A119" s="1" t="s">
        <v>127</v>
      </c>
      <c r="B119" s="2">
        <v>0.1070223748683929</v>
      </c>
      <c r="C119" s="1">
        <v>138</v>
      </c>
      <c r="D119" s="1">
        <v>0</v>
      </c>
      <c r="E119" s="1">
        <v>138</v>
      </c>
      <c r="F119" s="1">
        <v>0</v>
      </c>
      <c r="G119" s="1">
        <v>0</v>
      </c>
      <c r="H119" s="1">
        <v>0</v>
      </c>
    </row>
    <row r="120" spans="1:8">
      <c r="A120" s="1" t="s">
        <v>26</v>
      </c>
      <c r="B120" s="2">
        <v>0.1054713279008865</v>
      </c>
      <c r="C120" s="1">
        <v>136</v>
      </c>
      <c r="D120" s="1">
        <v>76</v>
      </c>
      <c r="E120" s="1">
        <v>136</v>
      </c>
      <c r="F120" s="1">
        <v>0</v>
      </c>
      <c r="G120" s="1">
        <v>0</v>
      </c>
      <c r="H120" s="1">
        <v>76</v>
      </c>
    </row>
    <row r="121" spans="1:8">
      <c r="A121" s="1" t="s">
        <v>128</v>
      </c>
      <c r="B121" s="2">
        <v>0.0992671325802803</v>
      </c>
      <c r="C121" s="1">
        <v>128</v>
      </c>
      <c r="D121" s="1">
        <v>0</v>
      </c>
      <c r="E121" s="1">
        <v>128</v>
      </c>
      <c r="F121" s="1">
        <v>0</v>
      </c>
      <c r="G121" s="1">
        <v>0</v>
      </c>
      <c r="H121" s="1">
        <v>0</v>
      </c>
    </row>
    <row r="122" spans="1:8">
      <c r="A122" s="1" t="s">
        <v>129</v>
      </c>
      <c r="B122" s="2">
        <v>0.0992671325802803</v>
      </c>
      <c r="C122" s="1">
        <v>128</v>
      </c>
      <c r="D122" s="1">
        <v>0</v>
      </c>
      <c r="E122" s="1">
        <v>128</v>
      </c>
      <c r="F122" s="1">
        <v>0</v>
      </c>
      <c r="G122" s="1">
        <v>0</v>
      </c>
      <c r="H122" s="1">
        <v>0</v>
      </c>
    </row>
    <row r="123" spans="1:8">
      <c r="A123" s="1" t="s">
        <v>130</v>
      </c>
      <c r="B123" s="2">
        <v>0.0992671325802803</v>
      </c>
      <c r="C123" s="1">
        <v>128</v>
      </c>
      <c r="D123" s="1">
        <v>0</v>
      </c>
      <c r="E123" s="1">
        <v>128</v>
      </c>
      <c r="F123" s="1">
        <v>0</v>
      </c>
      <c r="G123" s="1">
        <v>0</v>
      </c>
      <c r="H123" s="1">
        <v>0</v>
      </c>
    </row>
    <row r="124" spans="1:8">
      <c r="A124" s="1" t="s">
        <v>131</v>
      </c>
      <c r="B124" s="2">
        <v>0.0977160781621933</v>
      </c>
      <c r="C124" s="1">
        <v>126</v>
      </c>
      <c r="D124" s="1">
        <v>0</v>
      </c>
      <c r="E124" s="1">
        <v>126</v>
      </c>
      <c r="F124" s="1">
        <v>0</v>
      </c>
      <c r="G124" s="1">
        <v>0</v>
      </c>
      <c r="H124" s="1">
        <v>0</v>
      </c>
    </row>
    <row r="125" spans="1:8">
      <c r="A125" s="1" t="s">
        <v>42</v>
      </c>
      <c r="B125" s="2">
        <v>0.0977160781621933</v>
      </c>
      <c r="C125" s="1">
        <v>126</v>
      </c>
      <c r="D125" s="1">
        <v>12</v>
      </c>
      <c r="E125" s="1">
        <v>102</v>
      </c>
      <c r="F125" s="1">
        <v>12</v>
      </c>
      <c r="G125" s="1">
        <v>12</v>
      </c>
      <c r="H125" s="1">
        <v>0</v>
      </c>
    </row>
    <row r="126" spans="1:8">
      <c r="A126" s="1" t="s">
        <v>23</v>
      </c>
      <c r="B126" s="2">
        <v>0.09306293725967407</v>
      </c>
      <c r="C126" s="1">
        <v>120</v>
      </c>
      <c r="D126" s="1">
        <v>128</v>
      </c>
      <c r="E126" s="1">
        <v>120</v>
      </c>
      <c r="F126" s="1">
        <v>0</v>
      </c>
      <c r="G126" s="1">
        <v>0</v>
      </c>
      <c r="H126" s="1">
        <v>128</v>
      </c>
    </row>
    <row r="127" spans="1:8">
      <c r="A127" s="1" t="s">
        <v>132</v>
      </c>
      <c r="B127" s="2">
        <v>0.08996083587408066</v>
      </c>
      <c r="C127" s="1">
        <v>116</v>
      </c>
      <c r="D127" s="1">
        <v>0</v>
      </c>
      <c r="E127" s="1">
        <v>116</v>
      </c>
      <c r="F127" s="1">
        <v>0</v>
      </c>
      <c r="G127" s="1">
        <v>0</v>
      </c>
      <c r="H127" s="1">
        <v>0</v>
      </c>
    </row>
    <row r="128" spans="1:8">
      <c r="A128" s="1" t="s">
        <v>133</v>
      </c>
      <c r="B128" s="2">
        <v>0.08840978890657425</v>
      </c>
      <c r="C128" s="1">
        <v>114</v>
      </c>
      <c r="D128" s="1">
        <v>0</v>
      </c>
      <c r="E128" s="1">
        <v>114</v>
      </c>
      <c r="F128" s="1">
        <v>0</v>
      </c>
      <c r="G128" s="1">
        <v>0</v>
      </c>
      <c r="H128" s="1">
        <v>0</v>
      </c>
    </row>
    <row r="129" spans="1:8">
      <c r="A129" s="1" t="s">
        <v>134</v>
      </c>
      <c r="B129" s="2">
        <v>0.08685874193906784</v>
      </c>
      <c r="C129" s="1">
        <v>112</v>
      </c>
      <c r="D129" s="1">
        <v>0</v>
      </c>
      <c r="E129" s="1">
        <v>112</v>
      </c>
      <c r="F129" s="1">
        <v>0</v>
      </c>
      <c r="G129" s="1">
        <v>0</v>
      </c>
      <c r="H129" s="1">
        <v>0</v>
      </c>
    </row>
    <row r="130" spans="1:8">
      <c r="A130" s="1" t="s">
        <v>135</v>
      </c>
      <c r="B130" s="2">
        <v>0.08685874193906784</v>
      </c>
      <c r="C130" s="1">
        <v>112</v>
      </c>
      <c r="D130" s="1">
        <v>0</v>
      </c>
      <c r="E130" s="1">
        <v>112</v>
      </c>
      <c r="F130" s="1">
        <v>0</v>
      </c>
      <c r="G130" s="1">
        <v>0</v>
      </c>
      <c r="H130" s="1">
        <v>0</v>
      </c>
    </row>
    <row r="131" spans="1:8">
      <c r="A131" s="1" t="s">
        <v>136</v>
      </c>
      <c r="B131" s="2">
        <v>0.08530768752098084</v>
      </c>
      <c r="C131" s="1">
        <v>110</v>
      </c>
      <c r="D131" s="1">
        <v>0</v>
      </c>
      <c r="E131" s="1">
        <v>110</v>
      </c>
      <c r="F131" s="1">
        <v>0</v>
      </c>
      <c r="G131" s="1">
        <v>0</v>
      </c>
      <c r="H131" s="1">
        <v>0</v>
      </c>
    </row>
    <row r="132" spans="1:8">
      <c r="A132" s="1" t="s">
        <v>137</v>
      </c>
      <c r="B132" s="2">
        <v>0.08375664055347443</v>
      </c>
      <c r="C132" s="1">
        <v>108</v>
      </c>
      <c r="D132" s="1">
        <v>0</v>
      </c>
      <c r="E132" s="1">
        <v>108</v>
      </c>
      <c r="F132" s="1">
        <v>0</v>
      </c>
      <c r="G132" s="1">
        <v>0</v>
      </c>
      <c r="H132" s="1">
        <v>0</v>
      </c>
    </row>
    <row r="133" spans="1:8">
      <c r="A133" s="1" t="s">
        <v>12</v>
      </c>
      <c r="B133" s="2">
        <v>0.08375664055347443</v>
      </c>
      <c r="C133" s="1">
        <v>108</v>
      </c>
      <c r="D133" s="1">
        <v>720</v>
      </c>
      <c r="E133" s="1">
        <v>108</v>
      </c>
      <c r="F133" s="1">
        <v>0</v>
      </c>
      <c r="G133" s="1">
        <v>0</v>
      </c>
      <c r="H133" s="1">
        <v>720</v>
      </c>
    </row>
    <row r="134" spans="1:8">
      <c r="A134" s="1" t="s">
        <v>138</v>
      </c>
      <c r="B134" s="2">
        <v>0.07600139826536179</v>
      </c>
      <c r="C134" s="1">
        <v>98</v>
      </c>
      <c r="D134" s="1">
        <v>0</v>
      </c>
      <c r="E134" s="1">
        <v>98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0.07600139826536179</v>
      </c>
      <c r="C135" s="1">
        <v>98</v>
      </c>
      <c r="D135" s="1">
        <v>0</v>
      </c>
      <c r="E135" s="1">
        <v>98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0.07134824991226196</v>
      </c>
      <c r="C136" s="1">
        <v>92</v>
      </c>
      <c r="D136" s="1">
        <v>0</v>
      </c>
      <c r="E136" s="1">
        <v>92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0.06669510155916214</v>
      </c>
      <c r="C137" s="1">
        <v>86</v>
      </c>
      <c r="D137" s="1">
        <v>0</v>
      </c>
      <c r="E137" s="1">
        <v>86</v>
      </c>
      <c r="F137" s="1">
        <v>0</v>
      </c>
      <c r="G137" s="1">
        <v>0</v>
      </c>
      <c r="H137" s="1">
        <v>0</v>
      </c>
    </row>
    <row r="138" spans="1:8">
      <c r="A138" s="1" t="s">
        <v>142</v>
      </c>
      <c r="B138" s="2">
        <v>0.06514405459165573</v>
      </c>
      <c r="C138" s="1">
        <v>84</v>
      </c>
      <c r="D138" s="1">
        <v>0</v>
      </c>
      <c r="E138" s="1">
        <v>84</v>
      </c>
      <c r="F138" s="1">
        <v>0</v>
      </c>
      <c r="G138" s="1">
        <v>0</v>
      </c>
      <c r="H138" s="1">
        <v>0</v>
      </c>
    </row>
    <row r="139" spans="1:8">
      <c r="A139" s="1" t="s">
        <v>143</v>
      </c>
      <c r="B139" s="2">
        <v>0.06514405459165573</v>
      </c>
      <c r="C139" s="1">
        <v>84</v>
      </c>
      <c r="D139" s="1">
        <v>0</v>
      </c>
      <c r="E139" s="1">
        <v>84</v>
      </c>
      <c r="F139" s="1">
        <v>0</v>
      </c>
      <c r="G139" s="1">
        <v>0</v>
      </c>
      <c r="H139" s="1">
        <v>0</v>
      </c>
    </row>
    <row r="140" spans="1:8">
      <c r="A140" s="1" t="s">
        <v>144</v>
      </c>
      <c r="B140" s="2">
        <v>0.06514405459165573</v>
      </c>
      <c r="C140" s="1">
        <v>84</v>
      </c>
      <c r="D140" s="1">
        <v>0</v>
      </c>
      <c r="E140" s="1">
        <v>84</v>
      </c>
      <c r="F140" s="1">
        <v>0</v>
      </c>
      <c r="G140" s="1">
        <v>0</v>
      </c>
      <c r="H140" s="1">
        <v>0</v>
      </c>
    </row>
    <row r="141" spans="1:8">
      <c r="A141" s="1" t="s">
        <v>53</v>
      </c>
      <c r="B141" s="2">
        <v>0.06514405459165573</v>
      </c>
      <c r="C141" s="1">
        <v>84</v>
      </c>
      <c r="D141" s="1">
        <v>4</v>
      </c>
      <c r="E141" s="1">
        <v>48</v>
      </c>
      <c r="F141" s="1">
        <v>32</v>
      </c>
      <c r="G141" s="1">
        <v>4</v>
      </c>
      <c r="H141" s="1">
        <v>0</v>
      </c>
    </row>
    <row r="142" spans="1:8">
      <c r="A142" s="1" t="s">
        <v>145</v>
      </c>
      <c r="B142" s="2">
        <v>0.06359300762414932</v>
      </c>
      <c r="C142" s="1">
        <v>82</v>
      </c>
      <c r="D142" s="1">
        <v>0</v>
      </c>
      <c r="E142" s="1">
        <v>82</v>
      </c>
      <c r="F142" s="1">
        <v>0</v>
      </c>
      <c r="G142" s="1">
        <v>0</v>
      </c>
      <c r="H142" s="1">
        <v>0</v>
      </c>
    </row>
    <row r="143" spans="1:8">
      <c r="A143" s="1" t="s">
        <v>146</v>
      </c>
      <c r="B143" s="2">
        <v>0.06204195693135262</v>
      </c>
      <c r="C143" s="1">
        <v>80</v>
      </c>
      <c r="D143" s="1">
        <v>0</v>
      </c>
      <c r="E143" s="1">
        <v>80</v>
      </c>
      <c r="F143" s="1">
        <v>0</v>
      </c>
      <c r="G143" s="1">
        <v>0</v>
      </c>
      <c r="H143" s="1">
        <v>0</v>
      </c>
    </row>
    <row r="144" spans="1:8">
      <c r="A144" s="1" t="s">
        <v>147</v>
      </c>
      <c r="B144" s="2">
        <v>0.06204195693135262</v>
      </c>
      <c r="C144" s="1">
        <v>80</v>
      </c>
      <c r="D144" s="1">
        <v>0</v>
      </c>
      <c r="E144" s="1">
        <v>80</v>
      </c>
      <c r="F144" s="1">
        <v>0</v>
      </c>
      <c r="G144" s="1">
        <v>0</v>
      </c>
      <c r="H144" s="1">
        <v>0</v>
      </c>
    </row>
    <row r="145" spans="1:8">
      <c r="A145" s="1" t="s">
        <v>33</v>
      </c>
      <c r="B145" s="2">
        <v>0.0589398592710495</v>
      </c>
      <c r="C145" s="1">
        <v>76</v>
      </c>
      <c r="D145" s="1">
        <v>40</v>
      </c>
      <c r="E145" s="1">
        <v>76</v>
      </c>
      <c r="F145" s="1">
        <v>0</v>
      </c>
      <c r="G145" s="1">
        <v>0</v>
      </c>
      <c r="H145" s="1">
        <v>40</v>
      </c>
    </row>
    <row r="146" spans="1:8">
      <c r="A146" s="1" t="s">
        <v>148</v>
      </c>
      <c r="B146" s="2">
        <v>0.05118461325764656</v>
      </c>
      <c r="C146" s="1">
        <v>66</v>
      </c>
      <c r="D146" s="1">
        <v>0</v>
      </c>
      <c r="E146" s="1">
        <v>66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0.04653146862983704</v>
      </c>
      <c r="C147" s="1">
        <v>60</v>
      </c>
      <c r="D147" s="1">
        <v>0</v>
      </c>
      <c r="E147" s="1">
        <v>60</v>
      </c>
      <c r="F147" s="1">
        <v>0</v>
      </c>
      <c r="G147" s="1">
        <v>0</v>
      </c>
      <c r="H147" s="1">
        <v>0</v>
      </c>
    </row>
    <row r="148" spans="1:8">
      <c r="A148" s="1" t="s">
        <v>150</v>
      </c>
      <c r="B148" s="2">
        <v>0.04653146862983704</v>
      </c>
      <c r="C148" s="1">
        <v>60</v>
      </c>
      <c r="D148" s="1">
        <v>0</v>
      </c>
      <c r="E148" s="1">
        <v>60</v>
      </c>
      <c r="F148" s="1">
        <v>0</v>
      </c>
      <c r="G148" s="1">
        <v>0</v>
      </c>
      <c r="H148" s="1">
        <v>0</v>
      </c>
    </row>
    <row r="149" spans="1:8">
      <c r="A149" s="1" t="s">
        <v>151</v>
      </c>
      <c r="B149" s="2">
        <v>0.04653146862983704</v>
      </c>
      <c r="C149" s="1">
        <v>60</v>
      </c>
      <c r="D149" s="1">
        <v>0</v>
      </c>
      <c r="E149" s="1">
        <v>60</v>
      </c>
      <c r="F149" s="1">
        <v>0</v>
      </c>
      <c r="G149" s="1">
        <v>0</v>
      </c>
      <c r="H149" s="1">
        <v>0</v>
      </c>
    </row>
    <row r="150" spans="1:8">
      <c r="A150" s="1" t="s">
        <v>152</v>
      </c>
      <c r="B150" s="2">
        <v>0.04498041793704033</v>
      </c>
      <c r="C150" s="1">
        <v>58</v>
      </c>
      <c r="D150" s="1">
        <v>0</v>
      </c>
      <c r="E150" s="1">
        <v>58</v>
      </c>
      <c r="F150" s="1">
        <v>0</v>
      </c>
      <c r="G150" s="1">
        <v>0</v>
      </c>
      <c r="H150" s="1">
        <v>0</v>
      </c>
    </row>
    <row r="151" spans="1:8">
      <c r="A151" s="1" t="s">
        <v>153</v>
      </c>
      <c r="B151" s="2">
        <v>0.04187832027673721</v>
      </c>
      <c r="C151" s="1">
        <v>54</v>
      </c>
      <c r="D151" s="1">
        <v>0</v>
      </c>
      <c r="E151" s="1">
        <v>54</v>
      </c>
      <c r="F151" s="1">
        <v>0</v>
      </c>
      <c r="G151" s="1">
        <v>0</v>
      </c>
      <c r="H151" s="1">
        <v>0</v>
      </c>
    </row>
    <row r="152" spans="1:8">
      <c r="A152" s="1" t="s">
        <v>46</v>
      </c>
      <c r="B152" s="2">
        <v>0.04187832027673721</v>
      </c>
      <c r="C152" s="1">
        <v>54</v>
      </c>
      <c r="D152" s="1">
        <v>8</v>
      </c>
      <c r="E152" s="1">
        <v>34</v>
      </c>
      <c r="F152" s="1">
        <v>12</v>
      </c>
      <c r="G152" s="1">
        <v>8</v>
      </c>
      <c r="H152" s="1">
        <v>0</v>
      </c>
    </row>
    <row r="153" spans="1:8">
      <c r="A153" s="1" t="s">
        <v>154</v>
      </c>
      <c r="B153" s="2">
        <v>0.04032726958394051</v>
      </c>
      <c r="C153" s="1">
        <v>52</v>
      </c>
      <c r="D153" s="1">
        <v>0</v>
      </c>
      <c r="E153" s="1">
        <v>52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0.0387762226164341</v>
      </c>
      <c r="C154" s="1">
        <v>50</v>
      </c>
      <c r="D154" s="1">
        <v>0</v>
      </c>
      <c r="E154" s="1">
        <v>50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0.03722517192363739</v>
      </c>
      <c r="C155" s="1">
        <v>48</v>
      </c>
      <c r="D155" s="1">
        <v>0</v>
      </c>
      <c r="E155" s="1">
        <v>48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0.03722517192363739</v>
      </c>
      <c r="C156" s="1">
        <v>48</v>
      </c>
      <c r="D156" s="1">
        <v>0</v>
      </c>
      <c r="E156" s="1">
        <v>48</v>
      </c>
      <c r="F156" s="1">
        <v>0</v>
      </c>
      <c r="G156" s="1">
        <v>0</v>
      </c>
      <c r="H156" s="1">
        <v>0</v>
      </c>
    </row>
    <row r="157" spans="1:8">
      <c r="A157" s="1" t="s">
        <v>158</v>
      </c>
      <c r="B157" s="2">
        <v>0.03722517192363739</v>
      </c>
      <c r="C157" s="1">
        <v>48</v>
      </c>
      <c r="D157" s="1">
        <v>0</v>
      </c>
      <c r="E157" s="1">
        <v>48</v>
      </c>
      <c r="F157" s="1">
        <v>0</v>
      </c>
      <c r="G157" s="1">
        <v>0</v>
      </c>
      <c r="H157" s="1">
        <v>0</v>
      </c>
    </row>
    <row r="158" spans="1:8">
      <c r="A158" s="1" t="s">
        <v>159</v>
      </c>
      <c r="B158" s="2">
        <v>0.03412307426333427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160</v>
      </c>
      <c r="B159" s="2">
        <v>0.03412307426333427</v>
      </c>
      <c r="C159" s="1">
        <v>44</v>
      </c>
      <c r="D159" s="1">
        <v>0</v>
      </c>
      <c r="E159" s="1">
        <v>44</v>
      </c>
      <c r="F159" s="1">
        <v>0</v>
      </c>
      <c r="G159" s="1">
        <v>0</v>
      </c>
      <c r="H159" s="1">
        <v>0</v>
      </c>
    </row>
    <row r="160" spans="1:8">
      <c r="A160" s="1" t="s">
        <v>49</v>
      </c>
      <c r="B160" s="2">
        <v>0.03412307426333427</v>
      </c>
      <c r="C160" s="1">
        <v>44</v>
      </c>
      <c r="D160" s="1">
        <v>4</v>
      </c>
      <c r="E160" s="1">
        <v>16</v>
      </c>
      <c r="F160" s="1">
        <v>24</v>
      </c>
      <c r="G160" s="1">
        <v>4</v>
      </c>
      <c r="H160" s="1">
        <v>0</v>
      </c>
    </row>
    <row r="161" spans="1:8">
      <c r="A161" s="1" t="s">
        <v>161</v>
      </c>
      <c r="B161" s="2">
        <v>0.03412307426333427</v>
      </c>
      <c r="C161" s="1">
        <v>44</v>
      </c>
      <c r="D161" s="1">
        <v>0</v>
      </c>
      <c r="E161" s="1">
        <v>44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0.03412307426333427</v>
      </c>
      <c r="C162" s="1">
        <v>44</v>
      </c>
      <c r="D162" s="1">
        <v>0</v>
      </c>
      <c r="E162" s="1">
        <v>44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0.03102097846567631</v>
      </c>
      <c r="C163" s="1">
        <v>40</v>
      </c>
      <c r="D163" s="1">
        <v>0</v>
      </c>
      <c r="E163" s="1">
        <v>40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0.02946992963552475</v>
      </c>
      <c r="C164" s="1">
        <v>38</v>
      </c>
      <c r="D164" s="1">
        <v>0</v>
      </c>
      <c r="E164" s="1">
        <v>38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0.02946992963552475</v>
      </c>
      <c r="C165" s="1">
        <v>38</v>
      </c>
      <c r="D165" s="1">
        <v>0</v>
      </c>
      <c r="E165" s="1">
        <v>38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0.02791888080537319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0.02791888080537319</v>
      </c>
      <c r="C167" s="1">
        <v>36</v>
      </c>
      <c r="D167" s="1">
        <v>0</v>
      </c>
      <c r="E167" s="1">
        <v>36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0.02791888080537319</v>
      </c>
      <c r="C168" s="1">
        <v>36</v>
      </c>
      <c r="D168" s="1">
        <v>0</v>
      </c>
      <c r="E168" s="1">
        <v>36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0.02791888080537319</v>
      </c>
      <c r="C169" s="1">
        <v>36</v>
      </c>
      <c r="D169" s="1">
        <v>0</v>
      </c>
      <c r="E169" s="1">
        <v>36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0.02481678314507008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0.02481678314507008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0.02481678314507008</v>
      </c>
      <c r="C172" s="1">
        <v>32</v>
      </c>
      <c r="D172" s="1">
        <v>0</v>
      </c>
      <c r="E172" s="1">
        <v>32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0.02481678314507008</v>
      </c>
      <c r="C173" s="1">
        <v>32</v>
      </c>
      <c r="D173" s="1">
        <v>0</v>
      </c>
      <c r="E173" s="1">
        <v>32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0.02481678314507008</v>
      </c>
      <c r="C174" s="1">
        <v>32</v>
      </c>
      <c r="D174" s="1">
        <v>0</v>
      </c>
      <c r="E174" s="1">
        <v>32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0.02326573431491852</v>
      </c>
      <c r="C175" s="1">
        <v>30</v>
      </c>
      <c r="D175" s="1">
        <v>0</v>
      </c>
      <c r="E175" s="1">
        <v>30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0.02326573431491852</v>
      </c>
      <c r="C176" s="1">
        <v>30</v>
      </c>
      <c r="D176" s="1">
        <v>0</v>
      </c>
      <c r="E176" s="1">
        <v>30</v>
      </c>
      <c r="F176" s="1">
        <v>0</v>
      </c>
      <c r="G176" s="1">
        <v>0</v>
      </c>
      <c r="H176" s="1">
        <v>0</v>
      </c>
    </row>
    <row r="177" spans="1:8">
      <c r="A177" s="1" t="s">
        <v>177</v>
      </c>
      <c r="B177" s="2">
        <v>0.02016363479197025</v>
      </c>
      <c r="C177" s="1">
        <v>26</v>
      </c>
      <c r="D177" s="1">
        <v>0</v>
      </c>
      <c r="E177" s="1">
        <v>26</v>
      </c>
      <c r="F177" s="1">
        <v>0</v>
      </c>
      <c r="G177" s="1">
        <v>0</v>
      </c>
      <c r="H177" s="1">
        <v>0</v>
      </c>
    </row>
    <row r="178" spans="1:8">
      <c r="A178" s="1" t="s">
        <v>178</v>
      </c>
      <c r="B178" s="2">
        <v>0.02016363479197025</v>
      </c>
      <c r="C178" s="1">
        <v>26</v>
      </c>
      <c r="D178" s="1">
        <v>0</v>
      </c>
      <c r="E178" s="1">
        <v>26</v>
      </c>
      <c r="F178" s="1">
        <v>0</v>
      </c>
      <c r="G178" s="1">
        <v>0</v>
      </c>
      <c r="H178" s="1">
        <v>0</v>
      </c>
    </row>
    <row r="179" spans="1:8">
      <c r="A179" s="1" t="s">
        <v>179</v>
      </c>
      <c r="B179" s="2">
        <v>0.0186125859618187</v>
      </c>
      <c r="C179" s="1">
        <v>24</v>
      </c>
      <c r="D179" s="1">
        <v>0</v>
      </c>
      <c r="E179" s="1">
        <v>24</v>
      </c>
      <c r="F179" s="1">
        <v>0</v>
      </c>
      <c r="G179" s="1">
        <v>0</v>
      </c>
      <c r="H179" s="1">
        <v>0</v>
      </c>
    </row>
    <row r="180" spans="1:8">
      <c r="A180" s="1" t="s">
        <v>180</v>
      </c>
      <c r="B180" s="2">
        <v>0.0186125859618187</v>
      </c>
      <c r="C180" s="1">
        <v>24</v>
      </c>
      <c r="D180" s="1">
        <v>0</v>
      </c>
      <c r="E180" s="1">
        <v>24</v>
      </c>
      <c r="F180" s="1">
        <v>0</v>
      </c>
      <c r="G180" s="1">
        <v>0</v>
      </c>
      <c r="H180" s="1">
        <v>0</v>
      </c>
    </row>
    <row r="181" spans="1:8">
      <c r="A181" s="1" t="s">
        <v>48</v>
      </c>
      <c r="B181" s="2">
        <v>0.01240839157253504</v>
      </c>
      <c r="C181" s="1">
        <v>16</v>
      </c>
      <c r="D181" s="1">
        <v>4</v>
      </c>
      <c r="E181" s="1">
        <v>12</v>
      </c>
      <c r="F181" s="1">
        <v>0</v>
      </c>
      <c r="G181" s="1">
        <v>4</v>
      </c>
      <c r="H181" s="1">
        <v>0</v>
      </c>
    </row>
    <row r="182" spans="1:8">
      <c r="A182" s="1" t="s">
        <v>181</v>
      </c>
      <c r="B182" s="2">
        <v>0.006204195786267519</v>
      </c>
      <c r="C182" s="1">
        <v>8</v>
      </c>
      <c r="D182" s="1">
        <v>0</v>
      </c>
      <c r="E182" s="1">
        <v>8</v>
      </c>
      <c r="F182" s="1">
        <v>0</v>
      </c>
      <c r="G182" s="1">
        <v>0</v>
      </c>
      <c r="H182" s="1">
        <v>0</v>
      </c>
    </row>
    <row r="183" spans="1:8">
      <c r="A183" s="1" t="s">
        <v>182</v>
      </c>
      <c r="B183" s="2">
        <v>0.006204195786267519</v>
      </c>
      <c r="C183" s="1">
        <v>8</v>
      </c>
      <c r="D183" s="1">
        <v>0</v>
      </c>
      <c r="E183" s="1">
        <v>8</v>
      </c>
      <c r="F183" s="1">
        <v>0</v>
      </c>
      <c r="G183" s="1">
        <v>0</v>
      </c>
      <c r="H183" s="1">
        <v>0</v>
      </c>
    </row>
    <row r="184" spans="1:8">
      <c r="A184" s="1" t="s">
        <v>183</v>
      </c>
      <c r="B184" s="2">
        <v>0.00310209789313376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s="1" t="s">
        <v>47</v>
      </c>
      <c r="B185" s="2">
        <v>0.00310209789313376</v>
      </c>
      <c r="C185" s="1">
        <v>4</v>
      </c>
      <c r="D185" s="1">
        <v>4</v>
      </c>
      <c r="E185" s="1">
        <v>0</v>
      </c>
      <c r="F185" s="1">
        <v>0</v>
      </c>
      <c r="G185" s="1">
        <v>4</v>
      </c>
      <c r="H185" s="1">
        <v>0</v>
      </c>
    </row>
    <row r="186" spans="1:8">
      <c r="A186" s="1" t="s">
        <v>184</v>
      </c>
      <c r="B186" s="2">
        <v>0.00310209789313376</v>
      </c>
      <c r="C186" s="1">
        <v>4</v>
      </c>
      <c r="D186" s="1">
        <v>0</v>
      </c>
      <c r="E186" s="1">
        <v>4</v>
      </c>
      <c r="F186" s="1">
        <v>0</v>
      </c>
      <c r="G186" s="1">
        <v>0</v>
      </c>
      <c r="H186" s="1">
        <v>0</v>
      </c>
    </row>
    <row r="187" spans="1:8">
      <c r="A187" s="1" t="s">
        <v>185</v>
      </c>
      <c r="B187" s="2">
        <v>0.00310209789313376</v>
      </c>
      <c r="C187" s="1">
        <v>4</v>
      </c>
      <c r="D187" s="1">
        <v>0</v>
      </c>
      <c r="E187" s="1">
        <v>4</v>
      </c>
      <c r="F187" s="1">
        <v>0</v>
      </c>
      <c r="G187" s="1">
        <v>0</v>
      </c>
      <c r="H187" s="1">
        <v>0</v>
      </c>
    </row>
    <row r="188" spans="1:8">
      <c r="A188" t="s">
        <v>187</v>
      </c>
      <c r="B188">
        <f>SUBTOTAL(109,[flash_percent])</f>
        <v>0</v>
      </c>
      <c r="C188">
        <f>SUBTOTAL(109,[flash])</f>
        <v>0</v>
      </c>
      <c r="D188">
        <f>SUBTOTAL(109,[ram])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2026-08-21T06:15:50Z</dcterms:created>
  <dcterms:modified xsi:type="dcterms:W3CDTF">2026-08-21T06:15:50Z</dcterms:modified>
</cp:coreProperties>
</file>